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6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7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8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9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0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2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3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4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15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16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Ex1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18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19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0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Ex21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Ex2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23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Ex24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ihao Fang\Dropbox\Customer Funnel Project\Data\funnel\"/>
    </mc:Choice>
  </mc:AlternateContent>
  <xr:revisionPtr revIDLastSave="0" documentId="13_ncr:1_{55A39DD0-901F-483D-8ECF-C749B008874C}" xr6:coauthVersionLast="47" xr6:coauthVersionMax="47" xr10:uidLastSave="{00000000-0000-0000-0000-000000000000}"/>
  <bookViews>
    <workbookView xWindow="255" yWindow="0" windowWidth="21690" windowHeight="15600" xr2:uid="{00000000-000D-0000-FFFF-FFFF00000000}"/>
  </bookViews>
  <sheets>
    <sheet name="Funnel_Weekly" sheetId="1" r:id="rId1"/>
  </sheets>
  <definedNames>
    <definedName name="_xlnm._FilterDatabase" localSheetId="0" hidden="1">Funnel_Weekly!$A$2:$E$256</definedName>
    <definedName name="_xlchart.v2.0" hidden="1">Funnel_Weekly!$L$148:$N$148</definedName>
    <definedName name="_xlchart.v2.1" hidden="1">Funnel_Weekly!$L$2:$N$2</definedName>
    <definedName name="_xlchart.v2.10" hidden="1">Funnel_Weekly!$L$2:$N$2</definedName>
    <definedName name="_xlchart.v2.11" hidden="1">Funnel_Weekly!$L$8:$N$8</definedName>
    <definedName name="_xlchart.v2.12" hidden="1">Funnel_Weekly!$L$135:$N$135</definedName>
    <definedName name="_xlchart.v2.13" hidden="1">Funnel_Weekly!$L$2:$N$2</definedName>
    <definedName name="_xlchart.v2.14" hidden="1">Funnel_Weekly!$L$2:$N$2</definedName>
    <definedName name="_xlchart.v2.15" hidden="1">Funnel_Weekly!$L$47:$N$47</definedName>
    <definedName name="_xlchart.v2.16" hidden="1">Funnel_Weekly!$L$2:$N$2</definedName>
    <definedName name="_xlchart.v2.17" hidden="1">Funnel_Weekly!$L$60:$N$60</definedName>
    <definedName name="_xlchart.v2.18" hidden="1">Funnel_Weekly!$L$112:$N$112</definedName>
    <definedName name="_xlchart.v2.19" hidden="1">Funnel_Weekly!$L$2:$N$2</definedName>
    <definedName name="_xlchart.v2.2" hidden="1">Funnel_Weekly!$L$21:$N$21</definedName>
    <definedName name="_xlchart.v2.20" hidden="1">Funnel_Weekly!$L$2:$N$2</definedName>
    <definedName name="_xlchart.v2.21" hidden="1">Funnel_Weekly!$L$73:$N$73</definedName>
    <definedName name="_xlchart.v2.22" hidden="1">Funnel_Weekly!$Y$28:$AA$28</definedName>
    <definedName name="_xlchart.v2.23" hidden="1">Funnel_Weekly!$Y$2:$AA$2</definedName>
    <definedName name="_xlchart.v2.24" hidden="1">Funnel_Weekly!$L$2:$N$2</definedName>
    <definedName name="_xlchart.v2.25" hidden="1">Funnel_Weekly!$L$86:$N$86</definedName>
    <definedName name="_xlchart.v2.26" hidden="1">Funnel_Weekly!$L$174:$N$174</definedName>
    <definedName name="_xlchart.v2.27" hidden="1">Funnel_Weekly!$L$2:$N$2</definedName>
    <definedName name="_xlchart.v2.28" hidden="1">Funnel_Weekly!$L$2:$N$2</definedName>
    <definedName name="_xlchart.v2.29" hidden="1">Funnel_Weekly!$L$99:$N$99</definedName>
    <definedName name="_xlchart.v2.3" hidden="1">Funnel_Weekly!$L$2:$N$2</definedName>
    <definedName name="_xlchart.v2.30" hidden="1">Funnel_Weekly!$L$226:$N$226</definedName>
    <definedName name="_xlchart.v2.31" hidden="1">Funnel_Weekly!$L$2:$N$2</definedName>
    <definedName name="_xlchart.v2.32" hidden="1">Funnel_Weekly!$L$239:$N$239</definedName>
    <definedName name="_xlchart.v2.33" hidden="1">Funnel_Weekly!$L$2:$N$2</definedName>
    <definedName name="_xlchart.v2.34" hidden="1">Funnel_Weekly!$L$187:$N$187</definedName>
    <definedName name="_xlchart.v2.35" hidden="1">Funnel_Weekly!$L$2:$N$2</definedName>
    <definedName name="_xlchart.v2.36" hidden="1">Funnel_Weekly!$L$213:$N$213</definedName>
    <definedName name="_xlchart.v2.37" hidden="1">Funnel_Weekly!$L$2:$N$2</definedName>
    <definedName name="_xlchart.v2.38" hidden="1">Funnel_Weekly!$L$200:$N$200</definedName>
    <definedName name="_xlchart.v2.39" hidden="1">Funnel_Weekly!$L$2:$N$2</definedName>
    <definedName name="_xlchart.v2.4" hidden="1">Funnel_Weekly!$L$161:$N$161</definedName>
    <definedName name="_xlchart.v2.40" hidden="1">Funnel_Weekly!$Y$2:$AA$2</definedName>
    <definedName name="_xlchart.v2.41" hidden="1">Funnel_Weekly!$Y$72:$AA$72</definedName>
    <definedName name="_xlchart.v2.42" hidden="1">Funnel_Weekly!$Y$165:$AA$165</definedName>
    <definedName name="_xlchart.v2.43" hidden="1">Funnel_Weekly!$Y$2:$AA$2</definedName>
    <definedName name="_xlchart.v2.44" hidden="1">Funnel_Weekly!$Y$200:$AA$200</definedName>
    <definedName name="_xlchart.v2.45" hidden="1">Funnel_Weekly!$Y$2:$AA$2</definedName>
    <definedName name="_xlchart.v2.46" hidden="1">Funnel_Weekly!$Y$135:$AA$135</definedName>
    <definedName name="_xlchart.v2.47" hidden="1">Funnel_Weekly!$Y$2:$AA$2</definedName>
    <definedName name="_xlchart.v2.5" hidden="1">Funnel_Weekly!$L$2:$N$2</definedName>
    <definedName name="_xlchart.v2.6" hidden="1">Funnel_Weekly!$Y$2:$AA$2</definedName>
    <definedName name="_xlchart.v2.7" hidden="1">Funnel_Weekly!$Y$8:$AA$8</definedName>
    <definedName name="_xlchart.v2.8" hidden="1">Funnel_Weekly!$L$2:$N$2</definedName>
    <definedName name="_xlchart.v2.9" hidden="1">Funnel_Weekly!$L$34:$N$34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200" i="1" l="1"/>
  <c r="W200" i="1"/>
  <c r="V200" i="1"/>
  <c r="X165" i="1"/>
  <c r="W165" i="1"/>
  <c r="Z165" i="1" s="1"/>
  <c r="V165" i="1"/>
  <c r="X135" i="1"/>
  <c r="W135" i="1"/>
  <c r="Z135" i="1" s="1"/>
  <c r="V135" i="1"/>
  <c r="AB135" i="1"/>
  <c r="X72" i="1"/>
  <c r="W72" i="1"/>
  <c r="V72" i="1"/>
  <c r="X28" i="1"/>
  <c r="W28" i="1"/>
  <c r="V28" i="1"/>
  <c r="Z28" i="1" s="1"/>
  <c r="X8" i="1"/>
  <c r="W8" i="1"/>
  <c r="V8" i="1"/>
  <c r="K239" i="1"/>
  <c r="J239" i="1"/>
  <c r="I239" i="1"/>
  <c r="K226" i="1"/>
  <c r="J226" i="1"/>
  <c r="I226" i="1"/>
  <c r="N226" i="1" s="1"/>
  <c r="K213" i="1"/>
  <c r="J213" i="1"/>
  <c r="I213" i="1"/>
  <c r="K200" i="1"/>
  <c r="J200" i="1"/>
  <c r="I200" i="1"/>
  <c r="K187" i="1"/>
  <c r="J187" i="1"/>
  <c r="I187" i="1"/>
  <c r="K174" i="1"/>
  <c r="J174" i="1"/>
  <c r="I174" i="1"/>
  <c r="K161" i="1"/>
  <c r="J161" i="1"/>
  <c r="I161" i="1"/>
  <c r="K148" i="1"/>
  <c r="J148" i="1"/>
  <c r="I148" i="1"/>
  <c r="K135" i="1"/>
  <c r="J135" i="1"/>
  <c r="I135" i="1"/>
  <c r="K112" i="1"/>
  <c r="J112" i="1"/>
  <c r="I112" i="1"/>
  <c r="K99" i="1"/>
  <c r="J99" i="1"/>
  <c r="I99" i="1"/>
  <c r="K86" i="1"/>
  <c r="O86" i="1" s="1"/>
  <c r="J86" i="1"/>
  <c r="I86" i="1"/>
  <c r="K73" i="1"/>
  <c r="J73" i="1"/>
  <c r="I73" i="1"/>
  <c r="K60" i="1"/>
  <c r="J60" i="1"/>
  <c r="I60" i="1"/>
  <c r="K47" i="1"/>
  <c r="J47" i="1"/>
  <c r="M47" i="1" s="1"/>
  <c r="I47" i="1"/>
  <c r="K34" i="1"/>
  <c r="J34" i="1"/>
  <c r="I34" i="1"/>
  <c r="K21" i="1"/>
  <c r="J21" i="1"/>
  <c r="I21" i="1"/>
  <c r="K8" i="1"/>
  <c r="J8" i="1"/>
  <c r="I8" i="1"/>
  <c r="F9" i="1"/>
  <c r="G9" i="1"/>
  <c r="H9" i="1"/>
  <c r="F10" i="1"/>
  <c r="G10" i="1"/>
  <c r="H10" i="1"/>
  <c r="F11" i="1"/>
  <c r="G11" i="1"/>
  <c r="H11" i="1"/>
  <c r="F12" i="1"/>
  <c r="G12" i="1"/>
  <c r="H12" i="1"/>
  <c r="F13" i="1"/>
  <c r="G13" i="1"/>
  <c r="H13" i="1"/>
  <c r="F14" i="1"/>
  <c r="G14" i="1"/>
  <c r="H14" i="1"/>
  <c r="F15" i="1"/>
  <c r="G15" i="1"/>
  <c r="H15" i="1"/>
  <c r="F16" i="1"/>
  <c r="G16" i="1"/>
  <c r="H16" i="1"/>
  <c r="F17" i="1"/>
  <c r="G17" i="1"/>
  <c r="H17" i="1"/>
  <c r="F18" i="1"/>
  <c r="G18" i="1"/>
  <c r="H18" i="1"/>
  <c r="F19" i="1"/>
  <c r="G19" i="1"/>
  <c r="H19" i="1"/>
  <c r="F20" i="1"/>
  <c r="G20" i="1"/>
  <c r="H20" i="1"/>
  <c r="F21" i="1"/>
  <c r="G21" i="1"/>
  <c r="H21" i="1"/>
  <c r="F22" i="1"/>
  <c r="G22" i="1"/>
  <c r="H22" i="1"/>
  <c r="F23" i="1"/>
  <c r="G23" i="1"/>
  <c r="H23" i="1"/>
  <c r="F24" i="1"/>
  <c r="G24" i="1"/>
  <c r="H24" i="1"/>
  <c r="F25" i="1"/>
  <c r="G25" i="1"/>
  <c r="H25" i="1"/>
  <c r="F26" i="1"/>
  <c r="G26" i="1"/>
  <c r="H26" i="1"/>
  <c r="F27" i="1"/>
  <c r="G27" i="1"/>
  <c r="H27" i="1"/>
  <c r="F28" i="1"/>
  <c r="G28" i="1"/>
  <c r="H28" i="1"/>
  <c r="F29" i="1"/>
  <c r="G29" i="1"/>
  <c r="H29" i="1"/>
  <c r="F30" i="1"/>
  <c r="G30" i="1"/>
  <c r="H30" i="1"/>
  <c r="F31" i="1"/>
  <c r="G31" i="1"/>
  <c r="H31" i="1"/>
  <c r="F32" i="1"/>
  <c r="G32" i="1"/>
  <c r="H32" i="1"/>
  <c r="F33" i="1"/>
  <c r="G33" i="1"/>
  <c r="H33" i="1"/>
  <c r="F34" i="1"/>
  <c r="G34" i="1"/>
  <c r="H34" i="1"/>
  <c r="F35" i="1"/>
  <c r="G35" i="1"/>
  <c r="H35" i="1"/>
  <c r="F36" i="1"/>
  <c r="G36" i="1"/>
  <c r="H36" i="1"/>
  <c r="F37" i="1"/>
  <c r="G37" i="1"/>
  <c r="H37" i="1"/>
  <c r="F38" i="1"/>
  <c r="G38" i="1"/>
  <c r="H38" i="1"/>
  <c r="F39" i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F147" i="1"/>
  <c r="G147" i="1"/>
  <c r="H147" i="1"/>
  <c r="F148" i="1"/>
  <c r="G148" i="1"/>
  <c r="H148" i="1"/>
  <c r="F149" i="1"/>
  <c r="G149" i="1"/>
  <c r="H149" i="1"/>
  <c r="F150" i="1"/>
  <c r="G150" i="1"/>
  <c r="H150" i="1"/>
  <c r="F151" i="1"/>
  <c r="G151" i="1"/>
  <c r="H151" i="1"/>
  <c r="F152" i="1"/>
  <c r="G152" i="1"/>
  <c r="H152" i="1"/>
  <c r="F153" i="1"/>
  <c r="G153" i="1"/>
  <c r="H153" i="1"/>
  <c r="F154" i="1"/>
  <c r="G154" i="1"/>
  <c r="H154" i="1"/>
  <c r="F155" i="1"/>
  <c r="G155" i="1"/>
  <c r="H155" i="1"/>
  <c r="F156" i="1"/>
  <c r="G156" i="1"/>
  <c r="H156" i="1"/>
  <c r="F157" i="1"/>
  <c r="G157" i="1"/>
  <c r="H157" i="1"/>
  <c r="F158" i="1"/>
  <c r="G158" i="1"/>
  <c r="H158" i="1"/>
  <c r="F159" i="1"/>
  <c r="G159" i="1"/>
  <c r="H159" i="1"/>
  <c r="F160" i="1"/>
  <c r="G160" i="1"/>
  <c r="H160" i="1"/>
  <c r="F161" i="1"/>
  <c r="G161" i="1"/>
  <c r="H161" i="1"/>
  <c r="F162" i="1"/>
  <c r="G162" i="1"/>
  <c r="H162" i="1"/>
  <c r="F163" i="1"/>
  <c r="G163" i="1"/>
  <c r="H163" i="1"/>
  <c r="F164" i="1"/>
  <c r="G164" i="1"/>
  <c r="H164" i="1"/>
  <c r="F165" i="1"/>
  <c r="G165" i="1"/>
  <c r="H165" i="1"/>
  <c r="F166" i="1"/>
  <c r="G166" i="1"/>
  <c r="H166" i="1"/>
  <c r="F167" i="1"/>
  <c r="G167" i="1"/>
  <c r="H167" i="1"/>
  <c r="F168" i="1"/>
  <c r="G168" i="1"/>
  <c r="H168" i="1"/>
  <c r="F169" i="1"/>
  <c r="G169" i="1"/>
  <c r="H169" i="1"/>
  <c r="F170" i="1"/>
  <c r="G170" i="1"/>
  <c r="H170" i="1"/>
  <c r="F171" i="1"/>
  <c r="G171" i="1"/>
  <c r="H171" i="1"/>
  <c r="F172" i="1"/>
  <c r="G172" i="1"/>
  <c r="H172" i="1"/>
  <c r="F173" i="1"/>
  <c r="G173" i="1"/>
  <c r="H173" i="1"/>
  <c r="F174" i="1"/>
  <c r="G174" i="1"/>
  <c r="H174" i="1"/>
  <c r="F175" i="1"/>
  <c r="G175" i="1"/>
  <c r="H175" i="1"/>
  <c r="F176" i="1"/>
  <c r="G176" i="1"/>
  <c r="H176" i="1"/>
  <c r="F177" i="1"/>
  <c r="G177" i="1"/>
  <c r="H177" i="1"/>
  <c r="F178" i="1"/>
  <c r="G178" i="1"/>
  <c r="H178" i="1"/>
  <c r="F179" i="1"/>
  <c r="G179" i="1"/>
  <c r="H179" i="1"/>
  <c r="F180" i="1"/>
  <c r="G180" i="1"/>
  <c r="H180" i="1"/>
  <c r="F181" i="1"/>
  <c r="G181" i="1"/>
  <c r="H181" i="1"/>
  <c r="F182" i="1"/>
  <c r="G182" i="1"/>
  <c r="H182" i="1"/>
  <c r="F183" i="1"/>
  <c r="G183" i="1"/>
  <c r="H183" i="1"/>
  <c r="F184" i="1"/>
  <c r="G184" i="1"/>
  <c r="H184" i="1"/>
  <c r="F185" i="1"/>
  <c r="G185" i="1"/>
  <c r="H185" i="1"/>
  <c r="F186" i="1"/>
  <c r="G186" i="1"/>
  <c r="H186" i="1"/>
  <c r="F187" i="1"/>
  <c r="G187" i="1"/>
  <c r="H187" i="1"/>
  <c r="F188" i="1"/>
  <c r="G188" i="1"/>
  <c r="H188" i="1"/>
  <c r="F189" i="1"/>
  <c r="G189" i="1"/>
  <c r="H189" i="1"/>
  <c r="F190" i="1"/>
  <c r="G190" i="1"/>
  <c r="H190" i="1"/>
  <c r="F191" i="1"/>
  <c r="G191" i="1"/>
  <c r="H191" i="1"/>
  <c r="F192" i="1"/>
  <c r="G192" i="1"/>
  <c r="H192" i="1"/>
  <c r="F193" i="1"/>
  <c r="G193" i="1"/>
  <c r="H193" i="1"/>
  <c r="F194" i="1"/>
  <c r="G194" i="1"/>
  <c r="H194" i="1"/>
  <c r="F195" i="1"/>
  <c r="G195" i="1"/>
  <c r="H195" i="1"/>
  <c r="F196" i="1"/>
  <c r="G196" i="1"/>
  <c r="H196" i="1"/>
  <c r="F197" i="1"/>
  <c r="G197" i="1"/>
  <c r="H197" i="1"/>
  <c r="F198" i="1"/>
  <c r="G198" i="1"/>
  <c r="H198" i="1"/>
  <c r="F199" i="1"/>
  <c r="G199" i="1"/>
  <c r="H199" i="1"/>
  <c r="F200" i="1"/>
  <c r="G200" i="1"/>
  <c r="H200" i="1"/>
  <c r="F201" i="1"/>
  <c r="G201" i="1"/>
  <c r="H201" i="1"/>
  <c r="F202" i="1"/>
  <c r="G202" i="1"/>
  <c r="H202" i="1"/>
  <c r="F203" i="1"/>
  <c r="G203" i="1"/>
  <c r="H203" i="1"/>
  <c r="F204" i="1"/>
  <c r="G204" i="1"/>
  <c r="H204" i="1"/>
  <c r="F205" i="1"/>
  <c r="G205" i="1"/>
  <c r="H205" i="1"/>
  <c r="F206" i="1"/>
  <c r="G206" i="1"/>
  <c r="H206" i="1"/>
  <c r="F207" i="1"/>
  <c r="G207" i="1"/>
  <c r="H207" i="1"/>
  <c r="F208" i="1"/>
  <c r="G208" i="1"/>
  <c r="H208" i="1"/>
  <c r="F209" i="1"/>
  <c r="G209" i="1"/>
  <c r="H209" i="1"/>
  <c r="F210" i="1"/>
  <c r="G210" i="1"/>
  <c r="H210" i="1"/>
  <c r="F211" i="1"/>
  <c r="G211" i="1"/>
  <c r="H211" i="1"/>
  <c r="F212" i="1"/>
  <c r="G212" i="1"/>
  <c r="H212" i="1"/>
  <c r="F213" i="1"/>
  <c r="G213" i="1"/>
  <c r="H213" i="1"/>
  <c r="F214" i="1"/>
  <c r="G214" i="1"/>
  <c r="H214" i="1"/>
  <c r="F215" i="1"/>
  <c r="G215" i="1"/>
  <c r="H215" i="1"/>
  <c r="F216" i="1"/>
  <c r="G216" i="1"/>
  <c r="H216" i="1"/>
  <c r="F217" i="1"/>
  <c r="G217" i="1"/>
  <c r="H217" i="1"/>
  <c r="F218" i="1"/>
  <c r="G218" i="1"/>
  <c r="H218" i="1"/>
  <c r="F219" i="1"/>
  <c r="G219" i="1"/>
  <c r="H219" i="1"/>
  <c r="F220" i="1"/>
  <c r="G220" i="1"/>
  <c r="H220" i="1"/>
  <c r="F221" i="1"/>
  <c r="G221" i="1"/>
  <c r="H221" i="1"/>
  <c r="F222" i="1"/>
  <c r="G222" i="1"/>
  <c r="H222" i="1"/>
  <c r="F223" i="1"/>
  <c r="G223" i="1"/>
  <c r="H223" i="1"/>
  <c r="F224" i="1"/>
  <c r="G224" i="1"/>
  <c r="H224" i="1"/>
  <c r="F225" i="1"/>
  <c r="G225" i="1"/>
  <c r="H225" i="1"/>
  <c r="F226" i="1"/>
  <c r="G226" i="1"/>
  <c r="H226" i="1"/>
  <c r="F227" i="1"/>
  <c r="G227" i="1"/>
  <c r="H227" i="1"/>
  <c r="F228" i="1"/>
  <c r="G228" i="1"/>
  <c r="H228" i="1"/>
  <c r="F229" i="1"/>
  <c r="G229" i="1"/>
  <c r="H229" i="1"/>
  <c r="F230" i="1"/>
  <c r="G230" i="1"/>
  <c r="H230" i="1"/>
  <c r="F231" i="1"/>
  <c r="G231" i="1"/>
  <c r="H231" i="1"/>
  <c r="F232" i="1"/>
  <c r="G232" i="1"/>
  <c r="H232" i="1"/>
  <c r="F233" i="1"/>
  <c r="G233" i="1"/>
  <c r="H233" i="1"/>
  <c r="F234" i="1"/>
  <c r="G234" i="1"/>
  <c r="H234" i="1"/>
  <c r="F235" i="1"/>
  <c r="G235" i="1"/>
  <c r="H235" i="1"/>
  <c r="F236" i="1"/>
  <c r="G236" i="1"/>
  <c r="H236" i="1"/>
  <c r="F237" i="1"/>
  <c r="G237" i="1"/>
  <c r="H237" i="1"/>
  <c r="F238" i="1"/>
  <c r="G238" i="1"/>
  <c r="H238" i="1"/>
  <c r="F239" i="1"/>
  <c r="G239" i="1"/>
  <c r="H239" i="1"/>
  <c r="F240" i="1"/>
  <c r="G240" i="1"/>
  <c r="H240" i="1"/>
  <c r="F241" i="1"/>
  <c r="G241" i="1"/>
  <c r="H241" i="1"/>
  <c r="F242" i="1"/>
  <c r="G242" i="1"/>
  <c r="H242" i="1"/>
  <c r="F243" i="1"/>
  <c r="G243" i="1"/>
  <c r="H243" i="1"/>
  <c r="F244" i="1"/>
  <c r="G244" i="1"/>
  <c r="H244" i="1"/>
  <c r="F245" i="1"/>
  <c r="G245" i="1"/>
  <c r="H245" i="1"/>
  <c r="F246" i="1"/>
  <c r="G246" i="1"/>
  <c r="H246" i="1"/>
  <c r="F247" i="1"/>
  <c r="G247" i="1"/>
  <c r="H247" i="1"/>
  <c r="F248" i="1"/>
  <c r="G248" i="1"/>
  <c r="H248" i="1"/>
  <c r="F249" i="1"/>
  <c r="G249" i="1"/>
  <c r="H249" i="1"/>
  <c r="F250" i="1"/>
  <c r="G250" i="1"/>
  <c r="H250" i="1"/>
  <c r="F251" i="1"/>
  <c r="G251" i="1"/>
  <c r="H251" i="1"/>
  <c r="F252" i="1"/>
  <c r="G252" i="1"/>
  <c r="H252" i="1"/>
  <c r="F253" i="1"/>
  <c r="G253" i="1"/>
  <c r="H253" i="1"/>
  <c r="F254" i="1"/>
  <c r="G254" i="1"/>
  <c r="H254" i="1"/>
  <c r="F255" i="1"/>
  <c r="G255" i="1"/>
  <c r="H255" i="1"/>
  <c r="F256" i="1"/>
  <c r="G256" i="1"/>
  <c r="H256" i="1"/>
  <c r="F3" i="1"/>
  <c r="G3" i="1"/>
  <c r="H3" i="1"/>
  <c r="F4" i="1"/>
  <c r="G4" i="1"/>
  <c r="H4" i="1"/>
  <c r="F5" i="1"/>
  <c r="G5" i="1"/>
  <c r="H5" i="1"/>
  <c r="F6" i="1"/>
  <c r="G6" i="1"/>
  <c r="H6" i="1"/>
  <c r="F7" i="1"/>
  <c r="G7" i="1"/>
  <c r="H7" i="1"/>
  <c r="H8" i="1"/>
  <c r="G8" i="1"/>
  <c r="F8" i="1"/>
  <c r="P12" i="1"/>
  <c r="Q12" i="1"/>
  <c r="R12" i="1"/>
  <c r="P16" i="1"/>
  <c r="Q16" i="1"/>
  <c r="R16" i="1"/>
  <c r="P20" i="1"/>
  <c r="Q20" i="1"/>
  <c r="R20" i="1"/>
  <c r="P24" i="1"/>
  <c r="Q24" i="1"/>
  <c r="R24" i="1"/>
  <c r="P28" i="1"/>
  <c r="Q28" i="1"/>
  <c r="R28" i="1"/>
  <c r="P32" i="1"/>
  <c r="Q32" i="1"/>
  <c r="R32" i="1"/>
  <c r="P36" i="1"/>
  <c r="Q36" i="1"/>
  <c r="R36" i="1"/>
  <c r="P40" i="1"/>
  <c r="Q40" i="1"/>
  <c r="R40" i="1"/>
  <c r="P44" i="1"/>
  <c r="Q44" i="1"/>
  <c r="R44" i="1"/>
  <c r="P48" i="1"/>
  <c r="Q48" i="1"/>
  <c r="R48" i="1"/>
  <c r="P52" i="1"/>
  <c r="Q52" i="1"/>
  <c r="R52" i="1"/>
  <c r="P56" i="1"/>
  <c r="Q56" i="1"/>
  <c r="R56" i="1"/>
  <c r="P60" i="1"/>
  <c r="Q60" i="1"/>
  <c r="R60" i="1"/>
  <c r="P64" i="1"/>
  <c r="Q64" i="1"/>
  <c r="R64" i="1"/>
  <c r="P68" i="1"/>
  <c r="Q68" i="1"/>
  <c r="R68" i="1"/>
  <c r="P72" i="1"/>
  <c r="Q72" i="1"/>
  <c r="R72" i="1"/>
  <c r="P76" i="1"/>
  <c r="Q76" i="1"/>
  <c r="R76" i="1"/>
  <c r="P80" i="1"/>
  <c r="Q80" i="1"/>
  <c r="R80" i="1"/>
  <c r="P84" i="1"/>
  <c r="Q84" i="1"/>
  <c r="R84" i="1"/>
  <c r="P88" i="1"/>
  <c r="Q88" i="1"/>
  <c r="R88" i="1"/>
  <c r="P92" i="1"/>
  <c r="Q92" i="1"/>
  <c r="R92" i="1"/>
  <c r="P96" i="1"/>
  <c r="Q96" i="1"/>
  <c r="R96" i="1"/>
  <c r="P100" i="1"/>
  <c r="Q100" i="1"/>
  <c r="R100" i="1"/>
  <c r="P104" i="1"/>
  <c r="Q104" i="1"/>
  <c r="R104" i="1"/>
  <c r="P108" i="1"/>
  <c r="Q108" i="1"/>
  <c r="R108" i="1"/>
  <c r="P112" i="1"/>
  <c r="Q112" i="1"/>
  <c r="R112" i="1"/>
  <c r="P116" i="1"/>
  <c r="Q116" i="1"/>
  <c r="R116" i="1"/>
  <c r="P120" i="1"/>
  <c r="Q120" i="1"/>
  <c r="R120" i="1"/>
  <c r="P124" i="1"/>
  <c r="Q124" i="1"/>
  <c r="R124" i="1"/>
  <c r="P135" i="1"/>
  <c r="Q135" i="1"/>
  <c r="R135" i="1"/>
  <c r="P139" i="1"/>
  <c r="Q139" i="1"/>
  <c r="R139" i="1"/>
  <c r="P143" i="1"/>
  <c r="Q143" i="1"/>
  <c r="R143" i="1"/>
  <c r="P147" i="1"/>
  <c r="Q147" i="1"/>
  <c r="R147" i="1"/>
  <c r="P151" i="1"/>
  <c r="Q151" i="1"/>
  <c r="R151" i="1"/>
  <c r="P155" i="1"/>
  <c r="Q155" i="1"/>
  <c r="R155" i="1"/>
  <c r="P159" i="1"/>
  <c r="Q159" i="1"/>
  <c r="R159" i="1"/>
  <c r="P163" i="1"/>
  <c r="Q163" i="1"/>
  <c r="R163" i="1"/>
  <c r="P167" i="1"/>
  <c r="Q167" i="1"/>
  <c r="R167" i="1"/>
  <c r="P171" i="1"/>
  <c r="Q171" i="1"/>
  <c r="R171" i="1"/>
  <c r="P175" i="1"/>
  <c r="Q175" i="1"/>
  <c r="R175" i="1"/>
  <c r="P179" i="1"/>
  <c r="Q179" i="1"/>
  <c r="R179" i="1"/>
  <c r="P183" i="1"/>
  <c r="Q183" i="1"/>
  <c r="S183" i="1" s="1"/>
  <c r="R183" i="1"/>
  <c r="P187" i="1"/>
  <c r="Q187" i="1"/>
  <c r="R187" i="1"/>
  <c r="P191" i="1"/>
  <c r="Q191" i="1"/>
  <c r="R191" i="1"/>
  <c r="P195" i="1"/>
  <c r="Q195" i="1"/>
  <c r="R195" i="1"/>
  <c r="P199" i="1"/>
  <c r="Q199" i="1"/>
  <c r="R199" i="1"/>
  <c r="P203" i="1"/>
  <c r="Q203" i="1"/>
  <c r="R203" i="1"/>
  <c r="U203" i="1" s="1"/>
  <c r="P207" i="1"/>
  <c r="Q207" i="1"/>
  <c r="R207" i="1"/>
  <c r="P211" i="1"/>
  <c r="Q211" i="1"/>
  <c r="R211" i="1"/>
  <c r="P215" i="1"/>
  <c r="Q215" i="1"/>
  <c r="R215" i="1"/>
  <c r="P219" i="1"/>
  <c r="Q219" i="1"/>
  <c r="R219" i="1"/>
  <c r="P223" i="1"/>
  <c r="Q223" i="1"/>
  <c r="R223" i="1"/>
  <c r="P227" i="1"/>
  <c r="Q227" i="1"/>
  <c r="R227" i="1"/>
  <c r="P231" i="1"/>
  <c r="Q231" i="1"/>
  <c r="R231" i="1"/>
  <c r="P235" i="1"/>
  <c r="Q235" i="1"/>
  <c r="R235" i="1"/>
  <c r="P239" i="1"/>
  <c r="Q239" i="1"/>
  <c r="R239" i="1"/>
  <c r="P243" i="1"/>
  <c r="Q243" i="1"/>
  <c r="R243" i="1"/>
  <c r="P247" i="1"/>
  <c r="Q247" i="1"/>
  <c r="R247" i="1"/>
  <c r="P251" i="1"/>
  <c r="Q251" i="1"/>
  <c r="R251" i="1"/>
  <c r="R8" i="1"/>
  <c r="Q8" i="1"/>
  <c r="P8" i="1"/>
  <c r="AB200" i="1" l="1"/>
  <c r="Z200" i="1"/>
  <c r="AA200" i="1"/>
  <c r="AB165" i="1"/>
  <c r="AA165" i="1"/>
  <c r="AA135" i="1"/>
  <c r="AB72" i="1"/>
  <c r="Z72" i="1"/>
  <c r="AA72" i="1"/>
  <c r="AB28" i="1"/>
  <c r="AA28" i="1"/>
  <c r="AB8" i="1"/>
  <c r="Z8" i="1"/>
  <c r="AA8" i="1"/>
  <c r="U195" i="1"/>
  <c r="S175" i="1"/>
  <c r="U124" i="1"/>
  <c r="U171" i="1"/>
  <c r="S151" i="1"/>
  <c r="O21" i="1"/>
  <c r="N135" i="1"/>
  <c r="T227" i="1"/>
  <c r="T60" i="1"/>
  <c r="T28" i="1"/>
  <c r="M34" i="1"/>
  <c r="O226" i="1"/>
  <c r="O161" i="1"/>
  <c r="O60" i="1"/>
  <c r="M99" i="1"/>
  <c r="S60" i="1"/>
  <c r="O135" i="1"/>
  <c r="N200" i="1"/>
  <c r="S116" i="1"/>
  <c r="S52" i="1"/>
  <c r="M73" i="1"/>
  <c r="O148" i="1"/>
  <c r="O187" i="1"/>
  <c r="U243" i="1"/>
  <c r="S223" i="1"/>
  <c r="M239" i="1"/>
  <c r="T20" i="1"/>
  <c r="M213" i="1"/>
  <c r="U28" i="1"/>
  <c r="N34" i="1"/>
  <c r="O99" i="1"/>
  <c r="M148" i="1"/>
  <c r="O213" i="1"/>
  <c r="O34" i="1"/>
  <c r="N112" i="1"/>
  <c r="M187" i="1"/>
  <c r="O73" i="1"/>
  <c r="O112" i="1"/>
  <c r="M226" i="1"/>
  <c r="T96" i="1"/>
  <c r="T64" i="1"/>
  <c r="M161" i="1"/>
  <c r="T239" i="1"/>
  <c r="T207" i="1"/>
  <c r="T175" i="1"/>
  <c r="S12" i="1"/>
  <c r="M21" i="1"/>
  <c r="O47" i="1"/>
  <c r="M86" i="1"/>
  <c r="O200" i="1"/>
  <c r="N174" i="1"/>
  <c r="M60" i="1"/>
  <c r="O174" i="1"/>
  <c r="O239" i="1"/>
  <c r="N239" i="1"/>
  <c r="N213" i="1"/>
  <c r="M200" i="1"/>
  <c r="N187" i="1"/>
  <c r="M174" i="1"/>
  <c r="N161" i="1"/>
  <c r="N148" i="1"/>
  <c r="M135" i="1"/>
  <c r="M112" i="1"/>
  <c r="N99" i="1"/>
  <c r="N86" i="1"/>
  <c r="N73" i="1"/>
  <c r="N60" i="1"/>
  <c r="N47" i="1"/>
  <c r="N21" i="1"/>
  <c r="T48" i="1"/>
  <c r="S235" i="1"/>
  <c r="T223" i="1"/>
  <c r="U100" i="1"/>
  <c r="S80" i="1"/>
  <c r="T211" i="1"/>
  <c r="T187" i="1"/>
  <c r="S147" i="1"/>
  <c r="S88" i="1"/>
  <c r="S167" i="1"/>
  <c r="U155" i="1"/>
  <c r="S135" i="1"/>
  <c r="S44" i="1"/>
  <c r="U24" i="1"/>
  <c r="S24" i="1"/>
  <c r="S20" i="1"/>
  <c r="T167" i="1"/>
  <c r="T76" i="1"/>
  <c r="S96" i="1"/>
  <c r="U84" i="1"/>
  <c r="U215" i="1"/>
  <c r="T135" i="1"/>
  <c r="S64" i="1"/>
  <c r="T44" i="1"/>
  <c r="S155" i="1"/>
  <c r="T104" i="1"/>
  <c r="T40" i="1"/>
  <c r="S247" i="1"/>
  <c r="S215" i="1"/>
  <c r="S195" i="1"/>
  <c r="T183" i="1"/>
  <c r="S104" i="1"/>
  <c r="S84" i="1"/>
  <c r="S72" i="1"/>
  <c r="T68" i="1"/>
  <c r="T36" i="1"/>
  <c r="U179" i="1"/>
  <c r="S120" i="1"/>
  <c r="S100" i="1"/>
  <c r="T88" i="1"/>
  <c r="U56" i="1"/>
  <c r="S36" i="1"/>
  <c r="S28" i="1"/>
  <c r="U247" i="1"/>
  <c r="S227" i="1"/>
  <c r="T215" i="1"/>
  <c r="S207" i="1"/>
  <c r="S187" i="1"/>
  <c r="U116" i="1"/>
  <c r="T80" i="1"/>
  <c r="S68" i="1"/>
  <c r="S48" i="1"/>
  <c r="S40" i="1"/>
  <c r="T12" i="1"/>
  <c r="S163" i="1"/>
  <c r="S8" i="1"/>
  <c r="T139" i="1"/>
  <c r="T112" i="1"/>
  <c r="S56" i="1"/>
  <c r="T8" i="1"/>
  <c r="T231" i="1"/>
  <c r="U211" i="1"/>
  <c r="U159" i="1"/>
  <c r="S139" i="1"/>
  <c r="T120" i="1"/>
  <c r="S112" i="1"/>
  <c r="U72" i="1"/>
  <c r="T52" i="1"/>
  <c r="U44" i="1"/>
  <c r="T251" i="1"/>
  <c r="T219" i="1"/>
  <c r="T24" i="1"/>
  <c r="T16" i="1"/>
  <c r="S231" i="1"/>
  <c r="S219" i="1"/>
  <c r="U199" i="1"/>
  <c r="S179" i="1"/>
  <c r="S159" i="1"/>
  <c r="S16" i="1"/>
  <c r="S171" i="1"/>
  <c r="S108" i="1"/>
  <c r="T243" i="1"/>
  <c r="S199" i="1"/>
  <c r="S124" i="1"/>
  <c r="U104" i="1"/>
  <c r="U88" i="1"/>
  <c r="S76" i="1"/>
  <c r="S92" i="1"/>
  <c r="U239" i="1"/>
  <c r="U120" i="1"/>
  <c r="T72" i="1"/>
  <c r="U12" i="1"/>
  <c r="U80" i="1"/>
  <c r="T56" i="1"/>
  <c r="U227" i="1"/>
  <c r="U40" i="1"/>
  <c r="U8" i="1"/>
  <c r="T191" i="1"/>
  <c r="T163" i="1"/>
  <c r="T143" i="1"/>
  <c r="U60" i="1"/>
  <c r="T32" i="1"/>
  <c r="U251" i="1"/>
  <c r="U235" i="1"/>
  <c r="U207" i="1"/>
  <c r="S191" i="1"/>
  <c r="S143" i="1"/>
  <c r="T116" i="1"/>
  <c r="T108" i="1"/>
  <c r="T100" i="1"/>
  <c r="T92" i="1"/>
  <c r="U76" i="1"/>
  <c r="S32" i="1"/>
  <c r="T247" i="1"/>
  <c r="S243" i="1"/>
  <c r="T235" i="1"/>
  <c r="S211" i="1"/>
  <c r="S203" i="1"/>
  <c r="T195" i="1"/>
  <c r="U187" i="1"/>
  <c r="T151" i="1"/>
  <c r="T84" i="1"/>
  <c r="U219" i="1"/>
  <c r="T199" i="1"/>
  <c r="U231" i="1"/>
  <c r="U191" i="1"/>
  <c r="U183" i="1"/>
  <c r="T179" i="1"/>
  <c r="T155" i="1"/>
  <c r="T147" i="1"/>
  <c r="U139" i="1"/>
  <c r="U108" i="1"/>
  <c r="U92" i="1"/>
  <c r="U64" i="1"/>
  <c r="U48" i="1"/>
  <c r="U32" i="1"/>
  <c r="U16" i="1"/>
  <c r="S251" i="1"/>
  <c r="S239" i="1"/>
  <c r="U223" i="1"/>
  <c r="T124" i="1"/>
  <c r="U112" i="1"/>
  <c r="U96" i="1"/>
  <c r="U68" i="1"/>
  <c r="U52" i="1"/>
  <c r="U36" i="1"/>
  <c r="U20" i="1"/>
  <c r="T203" i="1"/>
  <c r="T159" i="1"/>
  <c r="U143" i="1"/>
  <c r="T171" i="1"/>
  <c r="U167" i="1"/>
  <c r="U151" i="1"/>
  <c r="U135" i="1"/>
  <c r="U175" i="1"/>
  <c r="U163" i="1"/>
  <c r="U147" i="1"/>
  <c r="M8" i="1"/>
  <c r="N8" i="1"/>
  <c r="O8" i="1"/>
</calcChain>
</file>

<file path=xl/sharedStrings.xml><?xml version="1.0" encoding="utf-8"?>
<sst xmlns="http://schemas.openxmlformats.org/spreadsheetml/2006/main" count="292" uniqueCount="20">
  <si>
    <t>Week</t>
  </si>
  <si>
    <t>Business Unit</t>
  </si>
  <si>
    <t>Awareness</t>
  </si>
  <si>
    <t>Consideration</t>
  </si>
  <si>
    <t>iTrade</t>
  </si>
  <si>
    <t>Wealth</t>
  </si>
  <si>
    <t>Consideration = App Starts -&gt; Visits</t>
  </si>
  <si>
    <t>Awareness = Page URL (c19) -&gt; Visits</t>
  </si>
  <si>
    <t>Awareness = Page URL (c19) -&gt; Unique Visitors</t>
  </si>
  <si>
    <t>Conversion</t>
  </si>
  <si>
    <t>Conversion = App Completions -&gt; Visits</t>
  </si>
  <si>
    <t>Consideration over Awareness (%)</t>
  </si>
  <si>
    <t>Conversion over Awareness (%)</t>
  </si>
  <si>
    <t>Conversion over Consideration (%)</t>
  </si>
  <si>
    <t>Weekly</t>
  </si>
  <si>
    <t>Quarterly</t>
  </si>
  <si>
    <t>Monthly</t>
  </si>
  <si>
    <t>Periodically</t>
  </si>
  <si>
    <t xml:space="preserve">Consideration = Sum of unique visitors on 'https://www.scotiawealthmanagement.com/ca/en/home/not-yet-a-client/contact-us.html',  'https://www.scotiawealthmanagement.com/ca/en/connect-with-us.html', and 'https://www.scotiawealthmanagement.com/intl/en/home/contact-us.html' </t>
  </si>
  <si>
    <t xml:space="preserve">Conversion = Sum of unique visitors on 'https://www.scotiawealthmanagement.com/ca/en/home/not-yet-a-client/thank-you.html' and 'https://www.scotiawealthmanagement.com/ca/en/connect-with-us/thank-you.html'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</si>
</sst>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8" fillId="0" borderId="0" xfId="0" applyFon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2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24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iTrade - Weekly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Funnel_Weekly!$D$2</c:f>
              <c:strCache>
                <c:ptCount val="1"/>
                <c:pt idx="0">
                  <c:v>Consideration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Funnel_Weekly!$A$3:$A$116</c:f>
              <c:numCache>
                <c:formatCode>m/d/yyyy</c:formatCode>
                <c:ptCount val="114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  <c:pt idx="109">
                  <c:v>44682</c:v>
                </c:pt>
                <c:pt idx="110">
                  <c:v>44689</c:v>
                </c:pt>
                <c:pt idx="111">
                  <c:v>44696</c:v>
                </c:pt>
                <c:pt idx="112">
                  <c:v>44703</c:v>
                </c:pt>
                <c:pt idx="113">
                  <c:v>44710</c:v>
                </c:pt>
              </c:numCache>
            </c:numRef>
          </c:cat>
          <c:val>
            <c:numRef>
              <c:f>Funnel_Weekly!$D$3:$D$129</c:f>
              <c:numCache>
                <c:formatCode>General</c:formatCode>
                <c:ptCount val="1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3190</c:v>
                </c:pt>
                <c:pt idx="6">
                  <c:v>2977</c:v>
                </c:pt>
                <c:pt idx="7">
                  <c:v>2585</c:v>
                </c:pt>
                <c:pt idx="8">
                  <c:v>2585</c:v>
                </c:pt>
                <c:pt idx="9">
                  <c:v>2709</c:v>
                </c:pt>
                <c:pt idx="10">
                  <c:v>3312</c:v>
                </c:pt>
                <c:pt idx="11">
                  <c:v>2608</c:v>
                </c:pt>
                <c:pt idx="12">
                  <c:v>2608</c:v>
                </c:pt>
                <c:pt idx="13">
                  <c:v>2185</c:v>
                </c:pt>
                <c:pt idx="14">
                  <c:v>2185</c:v>
                </c:pt>
                <c:pt idx="15">
                  <c:v>2445</c:v>
                </c:pt>
                <c:pt idx="16">
                  <c:v>2274</c:v>
                </c:pt>
                <c:pt idx="17">
                  <c:v>2403</c:v>
                </c:pt>
                <c:pt idx="18">
                  <c:v>2251</c:v>
                </c:pt>
                <c:pt idx="19">
                  <c:v>2485</c:v>
                </c:pt>
                <c:pt idx="20">
                  <c:v>2485</c:v>
                </c:pt>
                <c:pt idx="21">
                  <c:v>2697</c:v>
                </c:pt>
                <c:pt idx="22">
                  <c:v>2555</c:v>
                </c:pt>
                <c:pt idx="23">
                  <c:v>2947</c:v>
                </c:pt>
                <c:pt idx="24">
                  <c:v>1950</c:v>
                </c:pt>
                <c:pt idx="25">
                  <c:v>2065</c:v>
                </c:pt>
                <c:pt idx="26">
                  <c:v>1819</c:v>
                </c:pt>
                <c:pt idx="27">
                  <c:v>1799</c:v>
                </c:pt>
                <c:pt idx="28">
                  <c:v>1785</c:v>
                </c:pt>
                <c:pt idx="29">
                  <c:v>1855</c:v>
                </c:pt>
                <c:pt idx="30">
                  <c:v>1931</c:v>
                </c:pt>
                <c:pt idx="31">
                  <c:v>1879</c:v>
                </c:pt>
                <c:pt idx="32">
                  <c:v>3103</c:v>
                </c:pt>
                <c:pt idx="33">
                  <c:v>3103</c:v>
                </c:pt>
                <c:pt idx="34">
                  <c:v>3172</c:v>
                </c:pt>
                <c:pt idx="35">
                  <c:v>3972</c:v>
                </c:pt>
                <c:pt idx="36">
                  <c:v>3751</c:v>
                </c:pt>
                <c:pt idx="37">
                  <c:v>3950</c:v>
                </c:pt>
                <c:pt idx="38">
                  <c:v>3417</c:v>
                </c:pt>
                <c:pt idx="39">
                  <c:v>2537</c:v>
                </c:pt>
                <c:pt idx="40">
                  <c:v>5233</c:v>
                </c:pt>
                <c:pt idx="41">
                  <c:v>5571</c:v>
                </c:pt>
                <c:pt idx="42">
                  <c:v>5571</c:v>
                </c:pt>
                <c:pt idx="43">
                  <c:v>5057</c:v>
                </c:pt>
                <c:pt idx="44">
                  <c:v>7909</c:v>
                </c:pt>
                <c:pt idx="45">
                  <c:v>7909</c:v>
                </c:pt>
                <c:pt idx="46">
                  <c:v>7103</c:v>
                </c:pt>
                <c:pt idx="47">
                  <c:v>5366</c:v>
                </c:pt>
                <c:pt idx="48">
                  <c:v>5591</c:v>
                </c:pt>
                <c:pt idx="49">
                  <c:v>3911</c:v>
                </c:pt>
                <c:pt idx="50">
                  <c:v>3423</c:v>
                </c:pt>
                <c:pt idx="51">
                  <c:v>2898</c:v>
                </c:pt>
                <c:pt idx="52">
                  <c:v>1867</c:v>
                </c:pt>
                <c:pt idx="53">
                  <c:v>1867</c:v>
                </c:pt>
                <c:pt idx="54">
                  <c:v>2065</c:v>
                </c:pt>
                <c:pt idx="55">
                  <c:v>2361</c:v>
                </c:pt>
                <c:pt idx="56">
                  <c:v>2145</c:v>
                </c:pt>
                <c:pt idx="57">
                  <c:v>2225</c:v>
                </c:pt>
                <c:pt idx="58">
                  <c:v>2305</c:v>
                </c:pt>
                <c:pt idx="59">
                  <c:v>2060</c:v>
                </c:pt>
                <c:pt idx="60">
                  <c:v>1801</c:v>
                </c:pt>
                <c:pt idx="61">
                  <c:v>1804</c:v>
                </c:pt>
                <c:pt idx="62">
                  <c:v>2126</c:v>
                </c:pt>
                <c:pt idx="63">
                  <c:v>1988</c:v>
                </c:pt>
                <c:pt idx="64">
                  <c:v>1766</c:v>
                </c:pt>
                <c:pt idx="65">
                  <c:v>1501</c:v>
                </c:pt>
                <c:pt idx="66">
                  <c:v>1295</c:v>
                </c:pt>
                <c:pt idx="67">
                  <c:v>1405</c:v>
                </c:pt>
                <c:pt idx="68">
                  <c:v>1415</c:v>
                </c:pt>
                <c:pt idx="69">
                  <c:v>1261</c:v>
                </c:pt>
                <c:pt idx="70">
                  <c:v>1247</c:v>
                </c:pt>
                <c:pt idx="71">
                  <c:v>1168</c:v>
                </c:pt>
                <c:pt idx="72">
                  <c:v>1333</c:v>
                </c:pt>
                <c:pt idx="73">
                  <c:v>1307</c:v>
                </c:pt>
                <c:pt idx="74">
                  <c:v>1307</c:v>
                </c:pt>
                <c:pt idx="75">
                  <c:v>1367</c:v>
                </c:pt>
                <c:pt idx="76">
                  <c:v>1157</c:v>
                </c:pt>
                <c:pt idx="77">
                  <c:v>1377</c:v>
                </c:pt>
                <c:pt idx="78">
                  <c:v>1381</c:v>
                </c:pt>
                <c:pt idx="79">
                  <c:v>1381</c:v>
                </c:pt>
                <c:pt idx="80">
                  <c:v>1380</c:v>
                </c:pt>
                <c:pt idx="81">
                  <c:v>1242</c:v>
                </c:pt>
                <c:pt idx="82">
                  <c:v>1904</c:v>
                </c:pt>
                <c:pt idx="83">
                  <c:v>1796</c:v>
                </c:pt>
                <c:pt idx="84">
                  <c:v>1979</c:v>
                </c:pt>
                <c:pt idx="85">
                  <c:v>1891</c:v>
                </c:pt>
                <c:pt idx="86">
                  <c:v>1772</c:v>
                </c:pt>
                <c:pt idx="87">
                  <c:v>1784</c:v>
                </c:pt>
                <c:pt idx="88">
                  <c:v>1681</c:v>
                </c:pt>
                <c:pt idx="89">
                  <c:v>1480</c:v>
                </c:pt>
                <c:pt idx="90">
                  <c:v>1716</c:v>
                </c:pt>
                <c:pt idx="91">
                  <c:v>1322</c:v>
                </c:pt>
                <c:pt idx="92">
                  <c:v>1253</c:v>
                </c:pt>
                <c:pt idx="93">
                  <c:v>1815</c:v>
                </c:pt>
                <c:pt idx="94">
                  <c:v>2012</c:v>
                </c:pt>
                <c:pt idx="95">
                  <c:v>2012</c:v>
                </c:pt>
                <c:pt idx="96">
                  <c:v>2286</c:v>
                </c:pt>
                <c:pt idx="97">
                  <c:v>1942</c:v>
                </c:pt>
                <c:pt idx="98">
                  <c:v>1901</c:v>
                </c:pt>
                <c:pt idx="99">
                  <c:v>1698</c:v>
                </c:pt>
                <c:pt idx="100">
                  <c:v>1881</c:v>
                </c:pt>
                <c:pt idx="101">
                  <c:v>2014</c:v>
                </c:pt>
                <c:pt idx="102">
                  <c:v>1728</c:v>
                </c:pt>
                <c:pt idx="103">
                  <c:v>1488</c:v>
                </c:pt>
                <c:pt idx="104">
                  <c:v>1581</c:v>
                </c:pt>
                <c:pt idx="105">
                  <c:v>1568</c:v>
                </c:pt>
                <c:pt idx="106">
                  <c:v>1298</c:v>
                </c:pt>
                <c:pt idx="107">
                  <c:v>1107</c:v>
                </c:pt>
                <c:pt idx="108">
                  <c:v>1400</c:v>
                </c:pt>
                <c:pt idx="109">
                  <c:v>1395</c:v>
                </c:pt>
                <c:pt idx="110">
                  <c:v>1318</c:v>
                </c:pt>
                <c:pt idx="111">
                  <c:v>1717</c:v>
                </c:pt>
                <c:pt idx="112">
                  <c:v>1734</c:v>
                </c:pt>
                <c:pt idx="113">
                  <c:v>1400</c:v>
                </c:pt>
                <c:pt idx="114">
                  <c:v>1308</c:v>
                </c:pt>
                <c:pt idx="115">
                  <c:v>1297</c:v>
                </c:pt>
                <c:pt idx="116">
                  <c:v>1214</c:v>
                </c:pt>
                <c:pt idx="117">
                  <c:v>1110</c:v>
                </c:pt>
                <c:pt idx="118">
                  <c:v>923</c:v>
                </c:pt>
                <c:pt idx="119">
                  <c:v>1064</c:v>
                </c:pt>
                <c:pt idx="120">
                  <c:v>1029</c:v>
                </c:pt>
                <c:pt idx="121">
                  <c:v>1086</c:v>
                </c:pt>
                <c:pt idx="122">
                  <c:v>985</c:v>
                </c:pt>
                <c:pt idx="123">
                  <c:v>956</c:v>
                </c:pt>
                <c:pt idx="124">
                  <c:v>1210</c:v>
                </c:pt>
                <c:pt idx="125">
                  <c:v>1260</c:v>
                </c:pt>
                <c:pt idx="126">
                  <c:v>1242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C2-4175-92FA-826A607CB5AE}"/>
            </c:ext>
          </c:extLst>
        </c:ser>
        <c:ser>
          <c:idx val="2"/>
          <c:order val="2"/>
          <c:tx>
            <c:strRef>
              <c:f>Funnel_Weekly!$E$2</c:f>
              <c:strCache>
                <c:ptCount val="1"/>
                <c:pt idx="0">
                  <c:v>Conversion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Funnel_Weekly!$A$3:$A$116</c:f>
              <c:numCache>
                <c:formatCode>m/d/yyyy</c:formatCode>
                <c:ptCount val="114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  <c:pt idx="109">
                  <c:v>44682</c:v>
                </c:pt>
                <c:pt idx="110">
                  <c:v>44689</c:v>
                </c:pt>
                <c:pt idx="111">
                  <c:v>44696</c:v>
                </c:pt>
                <c:pt idx="112">
                  <c:v>44703</c:v>
                </c:pt>
                <c:pt idx="113">
                  <c:v>44710</c:v>
                </c:pt>
              </c:numCache>
            </c:numRef>
          </c:cat>
          <c:val>
            <c:numRef>
              <c:f>Funnel_Weekly!$E$3:$E$129</c:f>
              <c:numCache>
                <c:formatCode>General</c:formatCode>
                <c:ptCount val="1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1503</c:v>
                </c:pt>
                <c:pt idx="6">
                  <c:v>1368</c:v>
                </c:pt>
                <c:pt idx="7">
                  <c:v>1168</c:v>
                </c:pt>
                <c:pt idx="8">
                  <c:v>1168</c:v>
                </c:pt>
                <c:pt idx="9">
                  <c:v>1223</c:v>
                </c:pt>
                <c:pt idx="10">
                  <c:v>1543</c:v>
                </c:pt>
                <c:pt idx="11">
                  <c:v>1049</c:v>
                </c:pt>
                <c:pt idx="12">
                  <c:v>1049</c:v>
                </c:pt>
                <c:pt idx="13">
                  <c:v>897</c:v>
                </c:pt>
                <c:pt idx="14">
                  <c:v>897</c:v>
                </c:pt>
                <c:pt idx="15">
                  <c:v>1023</c:v>
                </c:pt>
                <c:pt idx="16">
                  <c:v>905</c:v>
                </c:pt>
                <c:pt idx="17">
                  <c:v>776</c:v>
                </c:pt>
                <c:pt idx="18">
                  <c:v>920</c:v>
                </c:pt>
                <c:pt idx="19">
                  <c:v>1033</c:v>
                </c:pt>
                <c:pt idx="20">
                  <c:v>1033</c:v>
                </c:pt>
                <c:pt idx="21">
                  <c:v>1052</c:v>
                </c:pt>
                <c:pt idx="22">
                  <c:v>1040</c:v>
                </c:pt>
                <c:pt idx="23">
                  <c:v>1290</c:v>
                </c:pt>
                <c:pt idx="24">
                  <c:v>841</c:v>
                </c:pt>
                <c:pt idx="25">
                  <c:v>909</c:v>
                </c:pt>
                <c:pt idx="26">
                  <c:v>762</c:v>
                </c:pt>
                <c:pt idx="27">
                  <c:v>799</c:v>
                </c:pt>
                <c:pt idx="28">
                  <c:v>788</c:v>
                </c:pt>
                <c:pt idx="29">
                  <c:v>806</c:v>
                </c:pt>
                <c:pt idx="30">
                  <c:v>769</c:v>
                </c:pt>
                <c:pt idx="31">
                  <c:v>786</c:v>
                </c:pt>
                <c:pt idx="32">
                  <c:v>1200</c:v>
                </c:pt>
                <c:pt idx="33">
                  <c:v>1200</c:v>
                </c:pt>
                <c:pt idx="34">
                  <c:v>1130</c:v>
                </c:pt>
                <c:pt idx="35">
                  <c:v>1622</c:v>
                </c:pt>
                <c:pt idx="36">
                  <c:v>1494</c:v>
                </c:pt>
                <c:pt idx="37">
                  <c:v>1689</c:v>
                </c:pt>
                <c:pt idx="38">
                  <c:v>1413</c:v>
                </c:pt>
                <c:pt idx="39">
                  <c:v>1094</c:v>
                </c:pt>
                <c:pt idx="40">
                  <c:v>2245</c:v>
                </c:pt>
                <c:pt idx="41">
                  <c:v>2301</c:v>
                </c:pt>
                <c:pt idx="42">
                  <c:v>2301</c:v>
                </c:pt>
                <c:pt idx="43">
                  <c:v>2139</c:v>
                </c:pt>
                <c:pt idx="44">
                  <c:v>3497</c:v>
                </c:pt>
                <c:pt idx="45">
                  <c:v>3497</c:v>
                </c:pt>
                <c:pt idx="46">
                  <c:v>3310</c:v>
                </c:pt>
                <c:pt idx="47">
                  <c:v>2542</c:v>
                </c:pt>
                <c:pt idx="48">
                  <c:v>2596</c:v>
                </c:pt>
                <c:pt idx="49">
                  <c:v>1783</c:v>
                </c:pt>
                <c:pt idx="50">
                  <c:v>1550</c:v>
                </c:pt>
                <c:pt idx="51">
                  <c:v>1214</c:v>
                </c:pt>
                <c:pt idx="52">
                  <c:v>815</c:v>
                </c:pt>
                <c:pt idx="53">
                  <c:v>815</c:v>
                </c:pt>
                <c:pt idx="54">
                  <c:v>832</c:v>
                </c:pt>
                <c:pt idx="55">
                  <c:v>1032</c:v>
                </c:pt>
                <c:pt idx="56">
                  <c:v>891</c:v>
                </c:pt>
                <c:pt idx="57">
                  <c:v>939</c:v>
                </c:pt>
                <c:pt idx="58">
                  <c:v>982</c:v>
                </c:pt>
                <c:pt idx="59">
                  <c:v>887</c:v>
                </c:pt>
                <c:pt idx="60">
                  <c:v>776</c:v>
                </c:pt>
                <c:pt idx="61">
                  <c:v>856</c:v>
                </c:pt>
                <c:pt idx="62">
                  <c:v>986</c:v>
                </c:pt>
                <c:pt idx="63">
                  <c:v>954</c:v>
                </c:pt>
                <c:pt idx="64">
                  <c:v>702</c:v>
                </c:pt>
                <c:pt idx="65">
                  <c:v>662</c:v>
                </c:pt>
                <c:pt idx="66">
                  <c:v>584</c:v>
                </c:pt>
                <c:pt idx="67">
                  <c:v>610</c:v>
                </c:pt>
                <c:pt idx="68">
                  <c:v>615</c:v>
                </c:pt>
                <c:pt idx="69">
                  <c:v>526</c:v>
                </c:pt>
                <c:pt idx="70">
                  <c:v>533</c:v>
                </c:pt>
                <c:pt idx="71">
                  <c:v>512</c:v>
                </c:pt>
                <c:pt idx="72">
                  <c:v>556</c:v>
                </c:pt>
                <c:pt idx="73">
                  <c:v>565</c:v>
                </c:pt>
                <c:pt idx="74">
                  <c:v>565</c:v>
                </c:pt>
                <c:pt idx="75">
                  <c:v>587</c:v>
                </c:pt>
                <c:pt idx="76">
                  <c:v>527</c:v>
                </c:pt>
                <c:pt idx="77">
                  <c:v>599</c:v>
                </c:pt>
                <c:pt idx="78">
                  <c:v>563</c:v>
                </c:pt>
                <c:pt idx="79">
                  <c:v>563</c:v>
                </c:pt>
                <c:pt idx="80">
                  <c:v>572</c:v>
                </c:pt>
                <c:pt idx="81">
                  <c:v>543</c:v>
                </c:pt>
                <c:pt idx="82">
                  <c:v>834</c:v>
                </c:pt>
                <c:pt idx="83">
                  <c:v>772</c:v>
                </c:pt>
                <c:pt idx="84">
                  <c:v>836</c:v>
                </c:pt>
                <c:pt idx="85">
                  <c:v>822</c:v>
                </c:pt>
                <c:pt idx="86">
                  <c:v>749</c:v>
                </c:pt>
                <c:pt idx="87">
                  <c:v>746</c:v>
                </c:pt>
                <c:pt idx="88">
                  <c:v>741</c:v>
                </c:pt>
                <c:pt idx="89">
                  <c:v>623</c:v>
                </c:pt>
                <c:pt idx="90">
                  <c:v>649</c:v>
                </c:pt>
                <c:pt idx="91">
                  <c:v>577</c:v>
                </c:pt>
                <c:pt idx="92">
                  <c:v>580</c:v>
                </c:pt>
                <c:pt idx="93">
                  <c:v>839</c:v>
                </c:pt>
                <c:pt idx="94">
                  <c:v>927</c:v>
                </c:pt>
                <c:pt idx="95">
                  <c:v>855</c:v>
                </c:pt>
                <c:pt idx="96">
                  <c:v>1065</c:v>
                </c:pt>
                <c:pt idx="97">
                  <c:v>940</c:v>
                </c:pt>
                <c:pt idx="98">
                  <c:v>903</c:v>
                </c:pt>
                <c:pt idx="99">
                  <c:v>796</c:v>
                </c:pt>
                <c:pt idx="100">
                  <c:v>965</c:v>
                </c:pt>
                <c:pt idx="101">
                  <c:v>909</c:v>
                </c:pt>
                <c:pt idx="102">
                  <c:v>794</c:v>
                </c:pt>
                <c:pt idx="103">
                  <c:v>635</c:v>
                </c:pt>
                <c:pt idx="104">
                  <c:v>643</c:v>
                </c:pt>
                <c:pt idx="105">
                  <c:v>733</c:v>
                </c:pt>
                <c:pt idx="106">
                  <c:v>548</c:v>
                </c:pt>
                <c:pt idx="107">
                  <c:v>429</c:v>
                </c:pt>
                <c:pt idx="108">
                  <c:v>540</c:v>
                </c:pt>
                <c:pt idx="109">
                  <c:v>534</c:v>
                </c:pt>
                <c:pt idx="110">
                  <c:v>486</c:v>
                </c:pt>
                <c:pt idx="111">
                  <c:v>424</c:v>
                </c:pt>
                <c:pt idx="112">
                  <c:v>374</c:v>
                </c:pt>
                <c:pt idx="113">
                  <c:v>341</c:v>
                </c:pt>
                <c:pt idx="114">
                  <c:v>509</c:v>
                </c:pt>
                <c:pt idx="115">
                  <c:v>544</c:v>
                </c:pt>
                <c:pt idx="116">
                  <c:v>508</c:v>
                </c:pt>
                <c:pt idx="117">
                  <c:v>479</c:v>
                </c:pt>
                <c:pt idx="118">
                  <c:v>376</c:v>
                </c:pt>
                <c:pt idx="119">
                  <c:v>408</c:v>
                </c:pt>
                <c:pt idx="120">
                  <c:v>440</c:v>
                </c:pt>
                <c:pt idx="121">
                  <c:v>438</c:v>
                </c:pt>
                <c:pt idx="122">
                  <c:v>386</c:v>
                </c:pt>
                <c:pt idx="123">
                  <c:v>424</c:v>
                </c:pt>
                <c:pt idx="124">
                  <c:v>476</c:v>
                </c:pt>
                <c:pt idx="125">
                  <c:v>527</c:v>
                </c:pt>
                <c:pt idx="126">
                  <c:v>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2-4175-92FA-826A607C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340424"/>
        <c:axId val="759341408"/>
        <c:extLst/>
      </c:lineChart>
      <c:lineChart>
        <c:grouping val="standard"/>
        <c:varyColors val="0"/>
        <c:ser>
          <c:idx val="0"/>
          <c:order val="0"/>
          <c:tx>
            <c:strRef>
              <c:f>Funnel_Weekly!$C$2</c:f>
              <c:strCache>
                <c:ptCount val="1"/>
                <c:pt idx="0">
                  <c:v>Awareness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Funnel_Weekly!$A$3:$A$116</c:f>
              <c:numCache>
                <c:formatCode>m/d/yyyy</c:formatCode>
                <c:ptCount val="114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  <c:pt idx="109">
                  <c:v>44682</c:v>
                </c:pt>
                <c:pt idx="110">
                  <c:v>44689</c:v>
                </c:pt>
                <c:pt idx="111">
                  <c:v>44696</c:v>
                </c:pt>
                <c:pt idx="112">
                  <c:v>44703</c:v>
                </c:pt>
                <c:pt idx="113">
                  <c:v>44710</c:v>
                </c:pt>
              </c:numCache>
              <c:extLst xmlns:c15="http://schemas.microsoft.com/office/drawing/2012/chart"/>
            </c:numRef>
          </c:cat>
          <c:val>
            <c:numRef>
              <c:f>Funnel_Weekly!$C$3:$C$129</c:f>
              <c:numCache>
                <c:formatCode>General</c:formatCode>
                <c:ptCount val="127"/>
                <c:pt idx="0">
                  <c:v>80281</c:v>
                </c:pt>
                <c:pt idx="1">
                  <c:v>80600</c:v>
                </c:pt>
                <c:pt idx="2">
                  <c:v>62205</c:v>
                </c:pt>
                <c:pt idx="3">
                  <c:v>71454</c:v>
                </c:pt>
                <c:pt idx="4">
                  <c:v>67387</c:v>
                </c:pt>
                <c:pt idx="5">
                  <c:v>54179</c:v>
                </c:pt>
                <c:pt idx="6">
                  <c:v>54145</c:v>
                </c:pt>
                <c:pt idx="7">
                  <c:v>55658</c:v>
                </c:pt>
                <c:pt idx="8">
                  <c:v>51341</c:v>
                </c:pt>
                <c:pt idx="9">
                  <c:v>53168</c:v>
                </c:pt>
                <c:pt idx="10">
                  <c:v>54129</c:v>
                </c:pt>
                <c:pt idx="11">
                  <c:v>49123</c:v>
                </c:pt>
                <c:pt idx="12">
                  <c:v>57056</c:v>
                </c:pt>
                <c:pt idx="13">
                  <c:v>48423</c:v>
                </c:pt>
                <c:pt idx="14">
                  <c:v>49983</c:v>
                </c:pt>
                <c:pt idx="15">
                  <c:v>48146</c:v>
                </c:pt>
                <c:pt idx="16">
                  <c:v>49274</c:v>
                </c:pt>
                <c:pt idx="17">
                  <c:v>49198</c:v>
                </c:pt>
                <c:pt idx="18">
                  <c:v>62354</c:v>
                </c:pt>
                <c:pt idx="19">
                  <c:v>49082</c:v>
                </c:pt>
                <c:pt idx="20">
                  <c:v>51588</c:v>
                </c:pt>
                <c:pt idx="21">
                  <c:v>53809</c:v>
                </c:pt>
                <c:pt idx="22">
                  <c:v>58362</c:v>
                </c:pt>
                <c:pt idx="23">
                  <c:v>45505</c:v>
                </c:pt>
                <c:pt idx="24">
                  <c:v>46907</c:v>
                </c:pt>
                <c:pt idx="25">
                  <c:v>42649</c:v>
                </c:pt>
                <c:pt idx="26">
                  <c:v>44363</c:v>
                </c:pt>
                <c:pt idx="27">
                  <c:v>51961</c:v>
                </c:pt>
                <c:pt idx="28">
                  <c:v>46576</c:v>
                </c:pt>
                <c:pt idx="29">
                  <c:v>44872</c:v>
                </c:pt>
                <c:pt idx="30">
                  <c:v>41943</c:v>
                </c:pt>
                <c:pt idx="31">
                  <c:v>44738</c:v>
                </c:pt>
                <c:pt idx="32">
                  <c:v>69352</c:v>
                </c:pt>
                <c:pt idx="33">
                  <c:v>60757</c:v>
                </c:pt>
                <c:pt idx="34">
                  <c:v>71480</c:v>
                </c:pt>
                <c:pt idx="35">
                  <c:v>64953</c:v>
                </c:pt>
                <c:pt idx="36">
                  <c:v>64845</c:v>
                </c:pt>
                <c:pt idx="37">
                  <c:v>61455</c:v>
                </c:pt>
                <c:pt idx="38">
                  <c:v>57956</c:v>
                </c:pt>
                <c:pt idx="39">
                  <c:v>75931</c:v>
                </c:pt>
                <c:pt idx="40">
                  <c:v>80240</c:v>
                </c:pt>
                <c:pt idx="41">
                  <c:v>79683</c:v>
                </c:pt>
                <c:pt idx="42">
                  <c:v>75398</c:v>
                </c:pt>
                <c:pt idx="43">
                  <c:v>126208</c:v>
                </c:pt>
                <c:pt idx="44">
                  <c:v>105274</c:v>
                </c:pt>
                <c:pt idx="45">
                  <c:v>103024</c:v>
                </c:pt>
                <c:pt idx="46">
                  <c:v>82405</c:v>
                </c:pt>
                <c:pt idx="47">
                  <c:v>83922</c:v>
                </c:pt>
                <c:pt idx="48">
                  <c:v>73590</c:v>
                </c:pt>
                <c:pt idx="49">
                  <c:v>68682</c:v>
                </c:pt>
                <c:pt idx="50">
                  <c:v>62341</c:v>
                </c:pt>
                <c:pt idx="51">
                  <c:v>51901</c:v>
                </c:pt>
                <c:pt idx="52">
                  <c:v>49920</c:v>
                </c:pt>
                <c:pt idx="53">
                  <c:v>51931</c:v>
                </c:pt>
                <c:pt idx="54">
                  <c:v>50393</c:v>
                </c:pt>
                <c:pt idx="55">
                  <c:v>48578</c:v>
                </c:pt>
                <c:pt idx="56">
                  <c:v>51008</c:v>
                </c:pt>
                <c:pt idx="57">
                  <c:v>54528</c:v>
                </c:pt>
                <c:pt idx="58">
                  <c:v>49673</c:v>
                </c:pt>
                <c:pt idx="59">
                  <c:v>46197</c:v>
                </c:pt>
                <c:pt idx="60">
                  <c:v>46271</c:v>
                </c:pt>
                <c:pt idx="61">
                  <c:v>48659</c:v>
                </c:pt>
                <c:pt idx="62">
                  <c:v>47316</c:v>
                </c:pt>
                <c:pt idx="63">
                  <c:v>44110</c:v>
                </c:pt>
                <c:pt idx="64">
                  <c:v>43003</c:v>
                </c:pt>
                <c:pt idx="65">
                  <c:v>44744</c:v>
                </c:pt>
                <c:pt idx="66">
                  <c:v>42146</c:v>
                </c:pt>
                <c:pt idx="67">
                  <c:v>38504</c:v>
                </c:pt>
                <c:pt idx="68">
                  <c:v>40569</c:v>
                </c:pt>
                <c:pt idx="69">
                  <c:v>38258</c:v>
                </c:pt>
                <c:pt idx="70">
                  <c:v>39278</c:v>
                </c:pt>
                <c:pt idx="71">
                  <c:v>40434</c:v>
                </c:pt>
                <c:pt idx="72">
                  <c:v>36443</c:v>
                </c:pt>
                <c:pt idx="73">
                  <c:v>44109</c:v>
                </c:pt>
                <c:pt idx="74">
                  <c:v>48013</c:v>
                </c:pt>
                <c:pt idx="75">
                  <c:v>41349</c:v>
                </c:pt>
                <c:pt idx="76">
                  <c:v>40724</c:v>
                </c:pt>
                <c:pt idx="77">
                  <c:v>43043</c:v>
                </c:pt>
                <c:pt idx="78">
                  <c:v>43792</c:v>
                </c:pt>
                <c:pt idx="79">
                  <c:v>47393</c:v>
                </c:pt>
                <c:pt idx="80">
                  <c:v>44412</c:v>
                </c:pt>
                <c:pt idx="81">
                  <c:v>49472</c:v>
                </c:pt>
                <c:pt idx="82">
                  <c:v>47799</c:v>
                </c:pt>
                <c:pt idx="83">
                  <c:v>48069</c:v>
                </c:pt>
                <c:pt idx="84">
                  <c:v>51454</c:v>
                </c:pt>
                <c:pt idx="85">
                  <c:v>45737</c:v>
                </c:pt>
                <c:pt idx="86">
                  <c:v>45183</c:v>
                </c:pt>
                <c:pt idx="87">
                  <c:v>42499</c:v>
                </c:pt>
                <c:pt idx="88">
                  <c:v>41765</c:v>
                </c:pt>
                <c:pt idx="89">
                  <c:v>67016</c:v>
                </c:pt>
                <c:pt idx="90">
                  <c:v>44367</c:v>
                </c:pt>
                <c:pt idx="91">
                  <c:v>46674</c:v>
                </c:pt>
                <c:pt idx="92">
                  <c:v>50863</c:v>
                </c:pt>
                <c:pt idx="93">
                  <c:v>66233</c:v>
                </c:pt>
                <c:pt idx="94">
                  <c:v>60151</c:v>
                </c:pt>
                <c:pt idx="95">
                  <c:v>62514</c:v>
                </c:pt>
                <c:pt idx="96">
                  <c:v>58189</c:v>
                </c:pt>
                <c:pt idx="97">
                  <c:v>55090</c:v>
                </c:pt>
                <c:pt idx="98">
                  <c:v>47939</c:v>
                </c:pt>
                <c:pt idx="99">
                  <c:v>46548</c:v>
                </c:pt>
                <c:pt idx="100">
                  <c:v>53121</c:v>
                </c:pt>
                <c:pt idx="101">
                  <c:v>50570</c:v>
                </c:pt>
                <c:pt idx="102">
                  <c:v>50570</c:v>
                </c:pt>
                <c:pt idx="103">
                  <c:v>46144</c:v>
                </c:pt>
                <c:pt idx="104">
                  <c:v>45346</c:v>
                </c:pt>
                <c:pt idx="105">
                  <c:v>38350</c:v>
                </c:pt>
                <c:pt idx="106">
                  <c:v>34435</c:v>
                </c:pt>
                <c:pt idx="107">
                  <c:v>37633</c:v>
                </c:pt>
                <c:pt idx="108">
                  <c:v>37226</c:v>
                </c:pt>
                <c:pt idx="109">
                  <c:v>56418</c:v>
                </c:pt>
                <c:pt idx="110">
                  <c:v>44314</c:v>
                </c:pt>
                <c:pt idx="111">
                  <c:v>39427</c:v>
                </c:pt>
                <c:pt idx="112">
                  <c:v>34620</c:v>
                </c:pt>
                <c:pt idx="113">
                  <c:v>36598</c:v>
                </c:pt>
                <c:pt idx="114">
                  <c:v>36380</c:v>
                </c:pt>
                <c:pt idx="115">
                  <c:v>36886</c:v>
                </c:pt>
                <c:pt idx="116">
                  <c:v>32515</c:v>
                </c:pt>
                <c:pt idx="117">
                  <c:v>27746</c:v>
                </c:pt>
                <c:pt idx="118">
                  <c:v>30144</c:v>
                </c:pt>
                <c:pt idx="119">
                  <c:v>28820</c:v>
                </c:pt>
                <c:pt idx="120">
                  <c:v>30559</c:v>
                </c:pt>
                <c:pt idx="121">
                  <c:v>35208</c:v>
                </c:pt>
                <c:pt idx="122">
                  <c:v>30487</c:v>
                </c:pt>
                <c:pt idx="123">
                  <c:v>37321</c:v>
                </c:pt>
                <c:pt idx="124">
                  <c:v>35845</c:v>
                </c:pt>
                <c:pt idx="125">
                  <c:v>29579</c:v>
                </c:pt>
                <c:pt idx="126">
                  <c:v>30277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CC2-4175-92FA-826A607C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829872"/>
        <c:axId val="545830200"/>
      </c:lineChart>
      <c:dateAx>
        <c:axId val="75934042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341408"/>
        <c:crosses val="autoZero"/>
        <c:auto val="1"/>
        <c:lblOffset val="100"/>
        <c:baseTimeUnit val="days"/>
      </c:dateAx>
      <c:valAx>
        <c:axId val="7593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340424"/>
        <c:crosses val="autoZero"/>
        <c:crossBetween val="between"/>
      </c:valAx>
      <c:valAx>
        <c:axId val="545830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829872"/>
        <c:crosses val="max"/>
        <c:crossBetween val="between"/>
      </c:valAx>
      <c:dateAx>
        <c:axId val="5458298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45830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Wealth - Weekly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Funnel_Weekly!$D$2</c:f>
              <c:strCache>
                <c:ptCount val="1"/>
                <c:pt idx="0">
                  <c:v>Consideration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Funnel_Weekly!$A$130:$A$243</c:f>
              <c:numCache>
                <c:formatCode>m/d/yyyy</c:formatCode>
                <c:ptCount val="114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  <c:pt idx="109">
                  <c:v>44682</c:v>
                </c:pt>
                <c:pt idx="110">
                  <c:v>44689</c:v>
                </c:pt>
                <c:pt idx="111">
                  <c:v>44696</c:v>
                </c:pt>
                <c:pt idx="112">
                  <c:v>44703</c:v>
                </c:pt>
                <c:pt idx="113">
                  <c:v>44710</c:v>
                </c:pt>
              </c:numCache>
            </c:numRef>
          </c:cat>
          <c:val>
            <c:numRef>
              <c:f>Funnel_Weekly!$D$130:$D$256</c:f>
              <c:numCache>
                <c:formatCode>General</c:formatCode>
                <c:ptCount val="127"/>
                <c:pt idx="0">
                  <c:v>296</c:v>
                </c:pt>
                <c:pt idx="1">
                  <c:v>266</c:v>
                </c:pt>
                <c:pt idx="2">
                  <c:v>206</c:v>
                </c:pt>
                <c:pt idx="3">
                  <c:v>272</c:v>
                </c:pt>
                <c:pt idx="4">
                  <c:v>270</c:v>
                </c:pt>
                <c:pt idx="5">
                  <c:v>228</c:v>
                </c:pt>
                <c:pt idx="6">
                  <c:v>225</c:v>
                </c:pt>
                <c:pt idx="7">
                  <c:v>184</c:v>
                </c:pt>
                <c:pt idx="8">
                  <c:v>225</c:v>
                </c:pt>
                <c:pt idx="9">
                  <c:v>221</c:v>
                </c:pt>
                <c:pt idx="10">
                  <c:v>202</c:v>
                </c:pt>
                <c:pt idx="11">
                  <c:v>203</c:v>
                </c:pt>
                <c:pt idx="12">
                  <c:v>184</c:v>
                </c:pt>
                <c:pt idx="13">
                  <c:v>160</c:v>
                </c:pt>
                <c:pt idx="14">
                  <c:v>191</c:v>
                </c:pt>
                <c:pt idx="15">
                  <c:v>183</c:v>
                </c:pt>
                <c:pt idx="16">
                  <c:v>184</c:v>
                </c:pt>
                <c:pt idx="17">
                  <c:v>193</c:v>
                </c:pt>
                <c:pt idx="18">
                  <c:v>173</c:v>
                </c:pt>
                <c:pt idx="19">
                  <c:v>209</c:v>
                </c:pt>
                <c:pt idx="20">
                  <c:v>188</c:v>
                </c:pt>
                <c:pt idx="21">
                  <c:v>208</c:v>
                </c:pt>
                <c:pt idx="22">
                  <c:v>212</c:v>
                </c:pt>
                <c:pt idx="23">
                  <c:v>181</c:v>
                </c:pt>
                <c:pt idx="24">
                  <c:v>201</c:v>
                </c:pt>
                <c:pt idx="25">
                  <c:v>167</c:v>
                </c:pt>
                <c:pt idx="26">
                  <c:v>193</c:v>
                </c:pt>
                <c:pt idx="27">
                  <c:v>208</c:v>
                </c:pt>
                <c:pt idx="28">
                  <c:v>148</c:v>
                </c:pt>
                <c:pt idx="29">
                  <c:v>197</c:v>
                </c:pt>
                <c:pt idx="30">
                  <c:v>216</c:v>
                </c:pt>
                <c:pt idx="31">
                  <c:v>159</c:v>
                </c:pt>
                <c:pt idx="32">
                  <c:v>171</c:v>
                </c:pt>
                <c:pt idx="33">
                  <c:v>204</c:v>
                </c:pt>
                <c:pt idx="34">
                  <c:v>189</c:v>
                </c:pt>
                <c:pt idx="35">
                  <c:v>219</c:v>
                </c:pt>
                <c:pt idx="36">
                  <c:v>203</c:v>
                </c:pt>
                <c:pt idx="37">
                  <c:v>191</c:v>
                </c:pt>
                <c:pt idx="38">
                  <c:v>126</c:v>
                </c:pt>
                <c:pt idx="39">
                  <c:v>135</c:v>
                </c:pt>
                <c:pt idx="40">
                  <c:v>252</c:v>
                </c:pt>
                <c:pt idx="41">
                  <c:v>221</c:v>
                </c:pt>
                <c:pt idx="42">
                  <c:v>207</c:v>
                </c:pt>
                <c:pt idx="43">
                  <c:v>261</c:v>
                </c:pt>
                <c:pt idx="44">
                  <c:v>288</c:v>
                </c:pt>
                <c:pt idx="45">
                  <c:v>271</c:v>
                </c:pt>
                <c:pt idx="46">
                  <c:v>250</c:v>
                </c:pt>
                <c:pt idx="47">
                  <c:v>300</c:v>
                </c:pt>
                <c:pt idx="48">
                  <c:v>283</c:v>
                </c:pt>
                <c:pt idx="49">
                  <c:v>322</c:v>
                </c:pt>
                <c:pt idx="50">
                  <c:v>311</c:v>
                </c:pt>
                <c:pt idx="51">
                  <c:v>281</c:v>
                </c:pt>
                <c:pt idx="52">
                  <c:v>243</c:v>
                </c:pt>
                <c:pt idx="53">
                  <c:v>264</c:v>
                </c:pt>
                <c:pt idx="54">
                  <c:v>278</c:v>
                </c:pt>
                <c:pt idx="55">
                  <c:v>277</c:v>
                </c:pt>
                <c:pt idx="56">
                  <c:v>256</c:v>
                </c:pt>
                <c:pt idx="57">
                  <c:v>231</c:v>
                </c:pt>
                <c:pt idx="58">
                  <c:v>269</c:v>
                </c:pt>
                <c:pt idx="59">
                  <c:v>247</c:v>
                </c:pt>
                <c:pt idx="60">
                  <c:v>201</c:v>
                </c:pt>
                <c:pt idx="61">
                  <c:v>193</c:v>
                </c:pt>
                <c:pt idx="62">
                  <c:v>201</c:v>
                </c:pt>
                <c:pt idx="63">
                  <c:v>210</c:v>
                </c:pt>
                <c:pt idx="64">
                  <c:v>191</c:v>
                </c:pt>
                <c:pt idx="65">
                  <c:v>160</c:v>
                </c:pt>
                <c:pt idx="66">
                  <c:v>188</c:v>
                </c:pt>
                <c:pt idx="67">
                  <c:v>215</c:v>
                </c:pt>
                <c:pt idx="68">
                  <c:v>224</c:v>
                </c:pt>
                <c:pt idx="69">
                  <c:v>188</c:v>
                </c:pt>
                <c:pt idx="70">
                  <c:v>171</c:v>
                </c:pt>
                <c:pt idx="71">
                  <c:v>213</c:v>
                </c:pt>
                <c:pt idx="72">
                  <c:v>168</c:v>
                </c:pt>
                <c:pt idx="73">
                  <c:v>178</c:v>
                </c:pt>
                <c:pt idx="74">
                  <c:v>180</c:v>
                </c:pt>
                <c:pt idx="75">
                  <c:v>154</c:v>
                </c:pt>
                <c:pt idx="76">
                  <c:v>184</c:v>
                </c:pt>
                <c:pt idx="77">
                  <c:v>171</c:v>
                </c:pt>
                <c:pt idx="78">
                  <c:v>168</c:v>
                </c:pt>
                <c:pt idx="79">
                  <c:v>189</c:v>
                </c:pt>
                <c:pt idx="80">
                  <c:v>184</c:v>
                </c:pt>
                <c:pt idx="81">
                  <c:v>172</c:v>
                </c:pt>
                <c:pt idx="82">
                  <c:v>219</c:v>
                </c:pt>
                <c:pt idx="83">
                  <c:v>250</c:v>
                </c:pt>
                <c:pt idx="84">
                  <c:v>247</c:v>
                </c:pt>
                <c:pt idx="85">
                  <c:v>238</c:v>
                </c:pt>
                <c:pt idx="86">
                  <c:v>259</c:v>
                </c:pt>
                <c:pt idx="87">
                  <c:v>269</c:v>
                </c:pt>
                <c:pt idx="88">
                  <c:v>247</c:v>
                </c:pt>
                <c:pt idx="89">
                  <c:v>226</c:v>
                </c:pt>
                <c:pt idx="90">
                  <c:v>200</c:v>
                </c:pt>
                <c:pt idx="91">
                  <c:v>175</c:v>
                </c:pt>
                <c:pt idx="92">
                  <c:v>236</c:v>
                </c:pt>
                <c:pt idx="93">
                  <c:v>247</c:v>
                </c:pt>
                <c:pt idx="94">
                  <c:v>297</c:v>
                </c:pt>
                <c:pt idx="95">
                  <c:v>312</c:v>
                </c:pt>
                <c:pt idx="96">
                  <c:v>377</c:v>
                </c:pt>
                <c:pt idx="97">
                  <c:v>343</c:v>
                </c:pt>
                <c:pt idx="98">
                  <c:v>354</c:v>
                </c:pt>
                <c:pt idx="99">
                  <c:v>302</c:v>
                </c:pt>
                <c:pt idx="100">
                  <c:v>256</c:v>
                </c:pt>
                <c:pt idx="101">
                  <c:v>261</c:v>
                </c:pt>
                <c:pt idx="102">
                  <c:v>334</c:v>
                </c:pt>
                <c:pt idx="103">
                  <c:v>281</c:v>
                </c:pt>
                <c:pt idx="104">
                  <c:v>262</c:v>
                </c:pt>
                <c:pt idx="105">
                  <c:v>385</c:v>
                </c:pt>
                <c:pt idx="106">
                  <c:v>316</c:v>
                </c:pt>
                <c:pt idx="107">
                  <c:v>280</c:v>
                </c:pt>
                <c:pt idx="108">
                  <c:v>248</c:v>
                </c:pt>
                <c:pt idx="109">
                  <c:v>369</c:v>
                </c:pt>
                <c:pt idx="110">
                  <c:v>554</c:v>
                </c:pt>
                <c:pt idx="111">
                  <c:v>328</c:v>
                </c:pt>
                <c:pt idx="112">
                  <c:v>270</c:v>
                </c:pt>
                <c:pt idx="113">
                  <c:v>403</c:v>
                </c:pt>
                <c:pt idx="114">
                  <c:v>341</c:v>
                </c:pt>
                <c:pt idx="115">
                  <c:v>460</c:v>
                </c:pt>
                <c:pt idx="116">
                  <c:v>426</c:v>
                </c:pt>
                <c:pt idx="117">
                  <c:v>388</c:v>
                </c:pt>
                <c:pt idx="118">
                  <c:v>524</c:v>
                </c:pt>
                <c:pt idx="119">
                  <c:v>636</c:v>
                </c:pt>
                <c:pt idx="120">
                  <c:v>641</c:v>
                </c:pt>
                <c:pt idx="121">
                  <c:v>1378</c:v>
                </c:pt>
                <c:pt idx="122">
                  <c:v>1313</c:v>
                </c:pt>
                <c:pt idx="123">
                  <c:v>1201</c:v>
                </c:pt>
                <c:pt idx="124">
                  <c:v>1056</c:v>
                </c:pt>
                <c:pt idx="125">
                  <c:v>947</c:v>
                </c:pt>
                <c:pt idx="126">
                  <c:v>1347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7F-427D-80D6-586E291E59FB}"/>
            </c:ext>
          </c:extLst>
        </c:ser>
        <c:ser>
          <c:idx val="2"/>
          <c:order val="2"/>
          <c:tx>
            <c:strRef>
              <c:f>Funnel_Weekly!$E$2</c:f>
              <c:strCache>
                <c:ptCount val="1"/>
                <c:pt idx="0">
                  <c:v>Conversion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Funnel_Weekly!$A$130:$A$243</c:f>
              <c:numCache>
                <c:formatCode>m/d/yyyy</c:formatCode>
                <c:ptCount val="114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  <c:pt idx="109">
                  <c:v>44682</c:v>
                </c:pt>
                <c:pt idx="110">
                  <c:v>44689</c:v>
                </c:pt>
                <c:pt idx="111">
                  <c:v>44696</c:v>
                </c:pt>
                <c:pt idx="112">
                  <c:v>44703</c:v>
                </c:pt>
                <c:pt idx="113">
                  <c:v>44710</c:v>
                </c:pt>
              </c:numCache>
            </c:numRef>
          </c:cat>
          <c:val>
            <c:numRef>
              <c:f>Funnel_Weekly!$E$130:$E$256</c:f>
              <c:numCache>
                <c:formatCode>General</c:formatCode>
                <c:ptCount val="127"/>
                <c:pt idx="0">
                  <c:v>33</c:v>
                </c:pt>
                <c:pt idx="1">
                  <c:v>27</c:v>
                </c:pt>
                <c:pt idx="2">
                  <c:v>27</c:v>
                </c:pt>
                <c:pt idx="3">
                  <c:v>35</c:v>
                </c:pt>
                <c:pt idx="4">
                  <c:v>35</c:v>
                </c:pt>
                <c:pt idx="5">
                  <c:v>32</c:v>
                </c:pt>
                <c:pt idx="6">
                  <c:v>20</c:v>
                </c:pt>
                <c:pt idx="7">
                  <c:v>21</c:v>
                </c:pt>
                <c:pt idx="8">
                  <c:v>15</c:v>
                </c:pt>
                <c:pt idx="9">
                  <c:v>18</c:v>
                </c:pt>
                <c:pt idx="10">
                  <c:v>27</c:v>
                </c:pt>
                <c:pt idx="11">
                  <c:v>17</c:v>
                </c:pt>
                <c:pt idx="12">
                  <c:v>23</c:v>
                </c:pt>
                <c:pt idx="13">
                  <c:v>18</c:v>
                </c:pt>
                <c:pt idx="14">
                  <c:v>26</c:v>
                </c:pt>
                <c:pt idx="15">
                  <c:v>17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23</c:v>
                </c:pt>
                <c:pt idx="20">
                  <c:v>25</c:v>
                </c:pt>
                <c:pt idx="21">
                  <c:v>40</c:v>
                </c:pt>
                <c:pt idx="22">
                  <c:v>29</c:v>
                </c:pt>
                <c:pt idx="23">
                  <c:v>24</c:v>
                </c:pt>
                <c:pt idx="24">
                  <c:v>25</c:v>
                </c:pt>
                <c:pt idx="25">
                  <c:v>19</c:v>
                </c:pt>
                <c:pt idx="26">
                  <c:v>28</c:v>
                </c:pt>
                <c:pt idx="27">
                  <c:v>23</c:v>
                </c:pt>
                <c:pt idx="28">
                  <c:v>0</c:v>
                </c:pt>
                <c:pt idx="29">
                  <c:v>22</c:v>
                </c:pt>
                <c:pt idx="30">
                  <c:v>25</c:v>
                </c:pt>
                <c:pt idx="31">
                  <c:v>18</c:v>
                </c:pt>
                <c:pt idx="32">
                  <c:v>18</c:v>
                </c:pt>
                <c:pt idx="33">
                  <c:v>19</c:v>
                </c:pt>
                <c:pt idx="34">
                  <c:v>27</c:v>
                </c:pt>
                <c:pt idx="35">
                  <c:v>28</c:v>
                </c:pt>
                <c:pt idx="36">
                  <c:v>24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28</c:v>
                </c:pt>
                <c:pt idx="41">
                  <c:v>38</c:v>
                </c:pt>
                <c:pt idx="42">
                  <c:v>31</c:v>
                </c:pt>
                <c:pt idx="43">
                  <c:v>17</c:v>
                </c:pt>
                <c:pt idx="44">
                  <c:v>45</c:v>
                </c:pt>
                <c:pt idx="45">
                  <c:v>37</c:v>
                </c:pt>
                <c:pt idx="46">
                  <c:v>34</c:v>
                </c:pt>
                <c:pt idx="47">
                  <c:v>39</c:v>
                </c:pt>
                <c:pt idx="48">
                  <c:v>57</c:v>
                </c:pt>
                <c:pt idx="49">
                  <c:v>51</c:v>
                </c:pt>
                <c:pt idx="50">
                  <c:v>25</c:v>
                </c:pt>
                <c:pt idx="51">
                  <c:v>33</c:v>
                </c:pt>
                <c:pt idx="52">
                  <c:v>31</c:v>
                </c:pt>
                <c:pt idx="53">
                  <c:v>32</c:v>
                </c:pt>
                <c:pt idx="54">
                  <c:v>31</c:v>
                </c:pt>
                <c:pt idx="55">
                  <c:v>27</c:v>
                </c:pt>
                <c:pt idx="56">
                  <c:v>26</c:v>
                </c:pt>
                <c:pt idx="57">
                  <c:v>26</c:v>
                </c:pt>
                <c:pt idx="58">
                  <c:v>28</c:v>
                </c:pt>
                <c:pt idx="59">
                  <c:v>28</c:v>
                </c:pt>
                <c:pt idx="60">
                  <c:v>37</c:v>
                </c:pt>
                <c:pt idx="61">
                  <c:v>32</c:v>
                </c:pt>
                <c:pt idx="62">
                  <c:v>28</c:v>
                </c:pt>
                <c:pt idx="63">
                  <c:v>29</c:v>
                </c:pt>
                <c:pt idx="64">
                  <c:v>24</c:v>
                </c:pt>
                <c:pt idx="65">
                  <c:v>22</c:v>
                </c:pt>
                <c:pt idx="66">
                  <c:v>23</c:v>
                </c:pt>
                <c:pt idx="67">
                  <c:v>30</c:v>
                </c:pt>
                <c:pt idx="68">
                  <c:v>27</c:v>
                </c:pt>
                <c:pt idx="69">
                  <c:v>31</c:v>
                </c:pt>
                <c:pt idx="70">
                  <c:v>23</c:v>
                </c:pt>
                <c:pt idx="71">
                  <c:v>33</c:v>
                </c:pt>
                <c:pt idx="72">
                  <c:v>21</c:v>
                </c:pt>
                <c:pt idx="73">
                  <c:v>30</c:v>
                </c:pt>
                <c:pt idx="74">
                  <c:v>26</c:v>
                </c:pt>
                <c:pt idx="75">
                  <c:v>27</c:v>
                </c:pt>
                <c:pt idx="76">
                  <c:v>45</c:v>
                </c:pt>
                <c:pt idx="77">
                  <c:v>18</c:v>
                </c:pt>
                <c:pt idx="78">
                  <c:v>33</c:v>
                </c:pt>
                <c:pt idx="79">
                  <c:v>28</c:v>
                </c:pt>
                <c:pt idx="80">
                  <c:v>33</c:v>
                </c:pt>
                <c:pt idx="81">
                  <c:v>29</c:v>
                </c:pt>
                <c:pt idx="82">
                  <c:v>35</c:v>
                </c:pt>
                <c:pt idx="83">
                  <c:v>32</c:v>
                </c:pt>
                <c:pt idx="84">
                  <c:v>29</c:v>
                </c:pt>
                <c:pt idx="85">
                  <c:v>26</c:v>
                </c:pt>
                <c:pt idx="86">
                  <c:v>33</c:v>
                </c:pt>
                <c:pt idx="87">
                  <c:v>24</c:v>
                </c:pt>
                <c:pt idx="88">
                  <c:v>37</c:v>
                </c:pt>
                <c:pt idx="89">
                  <c:v>30</c:v>
                </c:pt>
                <c:pt idx="90">
                  <c:v>21</c:v>
                </c:pt>
                <c:pt idx="91">
                  <c:v>22</c:v>
                </c:pt>
                <c:pt idx="92">
                  <c:v>39</c:v>
                </c:pt>
                <c:pt idx="93">
                  <c:v>45</c:v>
                </c:pt>
                <c:pt idx="94">
                  <c:v>62</c:v>
                </c:pt>
                <c:pt idx="95">
                  <c:v>52</c:v>
                </c:pt>
                <c:pt idx="96">
                  <c:v>56</c:v>
                </c:pt>
                <c:pt idx="97">
                  <c:v>47</c:v>
                </c:pt>
                <c:pt idx="98">
                  <c:v>46</c:v>
                </c:pt>
                <c:pt idx="99">
                  <c:v>63</c:v>
                </c:pt>
                <c:pt idx="100">
                  <c:v>49</c:v>
                </c:pt>
                <c:pt idx="101">
                  <c:v>46</c:v>
                </c:pt>
                <c:pt idx="102">
                  <c:v>50</c:v>
                </c:pt>
                <c:pt idx="103">
                  <c:v>53</c:v>
                </c:pt>
                <c:pt idx="104">
                  <c:v>33</c:v>
                </c:pt>
                <c:pt idx="105">
                  <c:v>47</c:v>
                </c:pt>
                <c:pt idx="106">
                  <c:v>38</c:v>
                </c:pt>
                <c:pt idx="107">
                  <c:v>46</c:v>
                </c:pt>
                <c:pt idx="108">
                  <c:v>43</c:v>
                </c:pt>
                <c:pt idx="109">
                  <c:v>58</c:v>
                </c:pt>
                <c:pt idx="110">
                  <c:v>89</c:v>
                </c:pt>
                <c:pt idx="111">
                  <c:v>39</c:v>
                </c:pt>
                <c:pt idx="112">
                  <c:v>24</c:v>
                </c:pt>
                <c:pt idx="113">
                  <c:v>35</c:v>
                </c:pt>
                <c:pt idx="114">
                  <c:v>45</c:v>
                </c:pt>
                <c:pt idx="115">
                  <c:v>59</c:v>
                </c:pt>
                <c:pt idx="116">
                  <c:v>47</c:v>
                </c:pt>
                <c:pt idx="117">
                  <c:v>27</c:v>
                </c:pt>
                <c:pt idx="118">
                  <c:v>36</c:v>
                </c:pt>
                <c:pt idx="119">
                  <c:v>68</c:v>
                </c:pt>
                <c:pt idx="120">
                  <c:v>69</c:v>
                </c:pt>
                <c:pt idx="121">
                  <c:v>84</c:v>
                </c:pt>
                <c:pt idx="122">
                  <c:v>85</c:v>
                </c:pt>
                <c:pt idx="123">
                  <c:v>76</c:v>
                </c:pt>
                <c:pt idx="124">
                  <c:v>75</c:v>
                </c:pt>
                <c:pt idx="125">
                  <c:v>73</c:v>
                </c:pt>
                <c:pt idx="126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7F-427D-80D6-586E291E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091896"/>
        <c:axId val="393088616"/>
        <c:extLst/>
      </c:lineChart>
      <c:lineChart>
        <c:grouping val="standard"/>
        <c:varyColors val="0"/>
        <c:ser>
          <c:idx val="0"/>
          <c:order val="0"/>
          <c:tx>
            <c:strRef>
              <c:f>Funnel_Weekly!$C$2</c:f>
              <c:strCache>
                <c:ptCount val="1"/>
                <c:pt idx="0">
                  <c:v>Awareness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Funnel_Weekly!$A$130:$A$243</c:f>
              <c:numCache>
                <c:formatCode>m/d/yyyy</c:formatCode>
                <c:ptCount val="114"/>
                <c:pt idx="0">
                  <c:v>43919</c:v>
                </c:pt>
                <c:pt idx="1">
                  <c:v>43926</c:v>
                </c:pt>
                <c:pt idx="2">
                  <c:v>43933</c:v>
                </c:pt>
                <c:pt idx="3">
                  <c:v>43940</c:v>
                </c:pt>
                <c:pt idx="4">
                  <c:v>43947</c:v>
                </c:pt>
                <c:pt idx="5">
                  <c:v>43954</c:v>
                </c:pt>
                <c:pt idx="6">
                  <c:v>43961</c:v>
                </c:pt>
                <c:pt idx="7">
                  <c:v>43968</c:v>
                </c:pt>
                <c:pt idx="8">
                  <c:v>43975</c:v>
                </c:pt>
                <c:pt idx="9">
                  <c:v>43982</c:v>
                </c:pt>
                <c:pt idx="10">
                  <c:v>43989</c:v>
                </c:pt>
                <c:pt idx="11">
                  <c:v>43996</c:v>
                </c:pt>
                <c:pt idx="12">
                  <c:v>44003</c:v>
                </c:pt>
                <c:pt idx="13">
                  <c:v>44010</c:v>
                </c:pt>
                <c:pt idx="14">
                  <c:v>44017</c:v>
                </c:pt>
                <c:pt idx="15">
                  <c:v>44024</c:v>
                </c:pt>
                <c:pt idx="16">
                  <c:v>44031</c:v>
                </c:pt>
                <c:pt idx="17">
                  <c:v>44038</c:v>
                </c:pt>
                <c:pt idx="18">
                  <c:v>44045</c:v>
                </c:pt>
                <c:pt idx="19">
                  <c:v>44052</c:v>
                </c:pt>
                <c:pt idx="20">
                  <c:v>44059</c:v>
                </c:pt>
                <c:pt idx="21">
                  <c:v>44066</c:v>
                </c:pt>
                <c:pt idx="22">
                  <c:v>44073</c:v>
                </c:pt>
                <c:pt idx="23">
                  <c:v>44080</c:v>
                </c:pt>
                <c:pt idx="24">
                  <c:v>44087</c:v>
                </c:pt>
                <c:pt idx="25">
                  <c:v>44094</c:v>
                </c:pt>
                <c:pt idx="26">
                  <c:v>44101</c:v>
                </c:pt>
                <c:pt idx="27">
                  <c:v>44108</c:v>
                </c:pt>
                <c:pt idx="28">
                  <c:v>44115</c:v>
                </c:pt>
                <c:pt idx="29">
                  <c:v>44122</c:v>
                </c:pt>
                <c:pt idx="30">
                  <c:v>44129</c:v>
                </c:pt>
                <c:pt idx="31">
                  <c:v>44136</c:v>
                </c:pt>
                <c:pt idx="32">
                  <c:v>44143</c:v>
                </c:pt>
                <c:pt idx="33">
                  <c:v>44150</c:v>
                </c:pt>
                <c:pt idx="34">
                  <c:v>44157</c:v>
                </c:pt>
                <c:pt idx="35">
                  <c:v>44164</c:v>
                </c:pt>
                <c:pt idx="36">
                  <c:v>44171</c:v>
                </c:pt>
                <c:pt idx="37">
                  <c:v>44178</c:v>
                </c:pt>
                <c:pt idx="38">
                  <c:v>44185</c:v>
                </c:pt>
                <c:pt idx="39">
                  <c:v>44192</c:v>
                </c:pt>
                <c:pt idx="40">
                  <c:v>44199</c:v>
                </c:pt>
                <c:pt idx="41">
                  <c:v>44206</c:v>
                </c:pt>
                <c:pt idx="42">
                  <c:v>44213</c:v>
                </c:pt>
                <c:pt idx="43">
                  <c:v>44220</c:v>
                </c:pt>
                <c:pt idx="44">
                  <c:v>44227</c:v>
                </c:pt>
                <c:pt idx="45">
                  <c:v>44234</c:v>
                </c:pt>
                <c:pt idx="46">
                  <c:v>44241</c:v>
                </c:pt>
                <c:pt idx="47">
                  <c:v>44248</c:v>
                </c:pt>
                <c:pt idx="48">
                  <c:v>44255</c:v>
                </c:pt>
                <c:pt idx="49">
                  <c:v>44262</c:v>
                </c:pt>
                <c:pt idx="50">
                  <c:v>44269</c:v>
                </c:pt>
                <c:pt idx="51">
                  <c:v>44276</c:v>
                </c:pt>
                <c:pt idx="52">
                  <c:v>44283</c:v>
                </c:pt>
                <c:pt idx="53">
                  <c:v>44290</c:v>
                </c:pt>
                <c:pt idx="54">
                  <c:v>44297</c:v>
                </c:pt>
                <c:pt idx="55">
                  <c:v>44304</c:v>
                </c:pt>
                <c:pt idx="56">
                  <c:v>44311</c:v>
                </c:pt>
                <c:pt idx="57">
                  <c:v>44318</c:v>
                </c:pt>
                <c:pt idx="58">
                  <c:v>44325</c:v>
                </c:pt>
                <c:pt idx="59">
                  <c:v>44332</c:v>
                </c:pt>
                <c:pt idx="60">
                  <c:v>44339</c:v>
                </c:pt>
                <c:pt idx="61">
                  <c:v>44346</c:v>
                </c:pt>
                <c:pt idx="62">
                  <c:v>44353</c:v>
                </c:pt>
                <c:pt idx="63">
                  <c:v>44360</c:v>
                </c:pt>
                <c:pt idx="64">
                  <c:v>44367</c:v>
                </c:pt>
                <c:pt idx="65">
                  <c:v>44374</c:v>
                </c:pt>
                <c:pt idx="66">
                  <c:v>44381</c:v>
                </c:pt>
                <c:pt idx="67">
                  <c:v>44388</c:v>
                </c:pt>
                <c:pt idx="68">
                  <c:v>44395</c:v>
                </c:pt>
                <c:pt idx="69">
                  <c:v>44402</c:v>
                </c:pt>
                <c:pt idx="70">
                  <c:v>44409</c:v>
                </c:pt>
                <c:pt idx="71">
                  <c:v>44416</c:v>
                </c:pt>
                <c:pt idx="72">
                  <c:v>44423</c:v>
                </c:pt>
                <c:pt idx="73">
                  <c:v>44430</c:v>
                </c:pt>
                <c:pt idx="74">
                  <c:v>44437</c:v>
                </c:pt>
                <c:pt idx="75">
                  <c:v>44444</c:v>
                </c:pt>
                <c:pt idx="76">
                  <c:v>44451</c:v>
                </c:pt>
                <c:pt idx="77">
                  <c:v>44458</c:v>
                </c:pt>
                <c:pt idx="78">
                  <c:v>44465</c:v>
                </c:pt>
                <c:pt idx="79">
                  <c:v>44472</c:v>
                </c:pt>
                <c:pt idx="80">
                  <c:v>44479</c:v>
                </c:pt>
                <c:pt idx="81">
                  <c:v>44486</c:v>
                </c:pt>
                <c:pt idx="82">
                  <c:v>44493</c:v>
                </c:pt>
                <c:pt idx="83">
                  <c:v>44500</c:v>
                </c:pt>
                <c:pt idx="84">
                  <c:v>44507</c:v>
                </c:pt>
                <c:pt idx="85">
                  <c:v>44514</c:v>
                </c:pt>
                <c:pt idx="86">
                  <c:v>44521</c:v>
                </c:pt>
                <c:pt idx="87">
                  <c:v>44528</c:v>
                </c:pt>
                <c:pt idx="88">
                  <c:v>44535</c:v>
                </c:pt>
                <c:pt idx="89">
                  <c:v>44542</c:v>
                </c:pt>
                <c:pt idx="90">
                  <c:v>44549</c:v>
                </c:pt>
                <c:pt idx="91">
                  <c:v>44556</c:v>
                </c:pt>
                <c:pt idx="92">
                  <c:v>44563</c:v>
                </c:pt>
                <c:pt idx="93">
                  <c:v>44570</c:v>
                </c:pt>
                <c:pt idx="94">
                  <c:v>44577</c:v>
                </c:pt>
                <c:pt idx="95">
                  <c:v>44584</c:v>
                </c:pt>
                <c:pt idx="96">
                  <c:v>44591</c:v>
                </c:pt>
                <c:pt idx="97">
                  <c:v>44598</c:v>
                </c:pt>
                <c:pt idx="98">
                  <c:v>44605</c:v>
                </c:pt>
                <c:pt idx="99">
                  <c:v>44612</c:v>
                </c:pt>
                <c:pt idx="100">
                  <c:v>44619</c:v>
                </c:pt>
                <c:pt idx="101">
                  <c:v>44626</c:v>
                </c:pt>
                <c:pt idx="102">
                  <c:v>44633</c:v>
                </c:pt>
                <c:pt idx="103">
                  <c:v>44640</c:v>
                </c:pt>
                <c:pt idx="104">
                  <c:v>44647</c:v>
                </c:pt>
                <c:pt idx="105">
                  <c:v>44654</c:v>
                </c:pt>
                <c:pt idx="106">
                  <c:v>44661</c:v>
                </c:pt>
                <c:pt idx="107">
                  <c:v>44668</c:v>
                </c:pt>
                <c:pt idx="108">
                  <c:v>44675</c:v>
                </c:pt>
                <c:pt idx="109">
                  <c:v>44682</c:v>
                </c:pt>
                <c:pt idx="110">
                  <c:v>44689</c:v>
                </c:pt>
                <c:pt idx="111">
                  <c:v>44696</c:v>
                </c:pt>
                <c:pt idx="112">
                  <c:v>44703</c:v>
                </c:pt>
                <c:pt idx="113">
                  <c:v>44710</c:v>
                </c:pt>
              </c:numCache>
              <c:extLst xmlns:c15="http://schemas.microsoft.com/office/drawing/2012/chart"/>
            </c:numRef>
          </c:cat>
          <c:val>
            <c:numRef>
              <c:f>Funnel_Weekly!$C$130:$C$256</c:f>
              <c:numCache>
                <c:formatCode>General</c:formatCode>
                <c:ptCount val="127"/>
                <c:pt idx="0">
                  <c:v>6134</c:v>
                </c:pt>
                <c:pt idx="1">
                  <c:v>5611</c:v>
                </c:pt>
                <c:pt idx="2">
                  <c:v>4363</c:v>
                </c:pt>
                <c:pt idx="3">
                  <c:v>6686</c:v>
                </c:pt>
                <c:pt idx="4">
                  <c:v>5045</c:v>
                </c:pt>
                <c:pt idx="5">
                  <c:v>3897</c:v>
                </c:pt>
                <c:pt idx="6">
                  <c:v>4269</c:v>
                </c:pt>
                <c:pt idx="7">
                  <c:v>4173</c:v>
                </c:pt>
                <c:pt idx="8">
                  <c:v>4713</c:v>
                </c:pt>
                <c:pt idx="9">
                  <c:v>4530</c:v>
                </c:pt>
                <c:pt idx="10">
                  <c:v>4304</c:v>
                </c:pt>
                <c:pt idx="11">
                  <c:v>4197</c:v>
                </c:pt>
                <c:pt idx="12">
                  <c:v>3901</c:v>
                </c:pt>
                <c:pt idx="13">
                  <c:v>4489</c:v>
                </c:pt>
                <c:pt idx="14">
                  <c:v>4716</c:v>
                </c:pt>
                <c:pt idx="15">
                  <c:v>4252</c:v>
                </c:pt>
                <c:pt idx="16">
                  <c:v>4215</c:v>
                </c:pt>
                <c:pt idx="17">
                  <c:v>4106</c:v>
                </c:pt>
                <c:pt idx="18">
                  <c:v>3996</c:v>
                </c:pt>
                <c:pt idx="19">
                  <c:v>4157</c:v>
                </c:pt>
                <c:pt idx="20">
                  <c:v>4072</c:v>
                </c:pt>
                <c:pt idx="21">
                  <c:v>4096</c:v>
                </c:pt>
                <c:pt idx="22">
                  <c:v>4654</c:v>
                </c:pt>
                <c:pt idx="23">
                  <c:v>3988</c:v>
                </c:pt>
                <c:pt idx="24">
                  <c:v>4309</c:v>
                </c:pt>
                <c:pt idx="25">
                  <c:v>4657</c:v>
                </c:pt>
                <c:pt idx="26">
                  <c:v>4554</c:v>
                </c:pt>
                <c:pt idx="27">
                  <c:v>4801</c:v>
                </c:pt>
                <c:pt idx="28">
                  <c:v>3886</c:v>
                </c:pt>
                <c:pt idx="29">
                  <c:v>4028</c:v>
                </c:pt>
                <c:pt idx="30">
                  <c:v>3894</c:v>
                </c:pt>
                <c:pt idx="31">
                  <c:v>3831</c:v>
                </c:pt>
                <c:pt idx="32">
                  <c:v>4190</c:v>
                </c:pt>
                <c:pt idx="33">
                  <c:v>4209</c:v>
                </c:pt>
                <c:pt idx="34">
                  <c:v>4312</c:v>
                </c:pt>
                <c:pt idx="35">
                  <c:v>4600</c:v>
                </c:pt>
                <c:pt idx="36">
                  <c:v>5196</c:v>
                </c:pt>
                <c:pt idx="37">
                  <c:v>4916</c:v>
                </c:pt>
                <c:pt idx="38">
                  <c:v>3235</c:v>
                </c:pt>
                <c:pt idx="39">
                  <c:v>3383</c:v>
                </c:pt>
                <c:pt idx="40">
                  <c:v>5024</c:v>
                </c:pt>
                <c:pt idx="41">
                  <c:v>4967</c:v>
                </c:pt>
                <c:pt idx="42">
                  <c:v>4824</c:v>
                </c:pt>
                <c:pt idx="43">
                  <c:v>5232</c:v>
                </c:pt>
                <c:pt idx="44">
                  <c:v>5960</c:v>
                </c:pt>
                <c:pt idx="45">
                  <c:v>6089</c:v>
                </c:pt>
                <c:pt idx="46">
                  <c:v>7414</c:v>
                </c:pt>
                <c:pt idx="47">
                  <c:v>6428</c:v>
                </c:pt>
                <c:pt idx="48">
                  <c:v>6474</c:v>
                </c:pt>
                <c:pt idx="49">
                  <c:v>6529</c:v>
                </c:pt>
                <c:pt idx="50">
                  <c:v>6093</c:v>
                </c:pt>
                <c:pt idx="51">
                  <c:v>5671</c:v>
                </c:pt>
                <c:pt idx="52">
                  <c:v>5109</c:v>
                </c:pt>
                <c:pt idx="53">
                  <c:v>5579</c:v>
                </c:pt>
                <c:pt idx="54">
                  <c:v>5387</c:v>
                </c:pt>
                <c:pt idx="55">
                  <c:v>5563</c:v>
                </c:pt>
                <c:pt idx="56">
                  <c:v>5848</c:v>
                </c:pt>
                <c:pt idx="57">
                  <c:v>5161</c:v>
                </c:pt>
                <c:pt idx="58">
                  <c:v>5148</c:v>
                </c:pt>
                <c:pt idx="59">
                  <c:v>4716</c:v>
                </c:pt>
                <c:pt idx="60">
                  <c:v>4491</c:v>
                </c:pt>
                <c:pt idx="61">
                  <c:v>4739</c:v>
                </c:pt>
                <c:pt idx="62">
                  <c:v>4728</c:v>
                </c:pt>
                <c:pt idx="63">
                  <c:v>4595</c:v>
                </c:pt>
                <c:pt idx="64">
                  <c:v>4103</c:v>
                </c:pt>
                <c:pt idx="65">
                  <c:v>3496</c:v>
                </c:pt>
                <c:pt idx="66">
                  <c:v>4348</c:v>
                </c:pt>
                <c:pt idx="67">
                  <c:v>4491</c:v>
                </c:pt>
                <c:pt idx="68">
                  <c:v>4286</c:v>
                </c:pt>
                <c:pt idx="69">
                  <c:v>3567</c:v>
                </c:pt>
                <c:pt idx="70">
                  <c:v>3547</c:v>
                </c:pt>
                <c:pt idx="71">
                  <c:v>4584</c:v>
                </c:pt>
                <c:pt idx="72">
                  <c:v>4290</c:v>
                </c:pt>
                <c:pt idx="73">
                  <c:v>4702</c:v>
                </c:pt>
                <c:pt idx="74">
                  <c:v>4221</c:v>
                </c:pt>
                <c:pt idx="75">
                  <c:v>4012</c:v>
                </c:pt>
                <c:pt idx="76">
                  <c:v>4314</c:v>
                </c:pt>
                <c:pt idx="77">
                  <c:v>3983</c:v>
                </c:pt>
                <c:pt idx="78">
                  <c:v>3815</c:v>
                </c:pt>
                <c:pt idx="79">
                  <c:v>4328</c:v>
                </c:pt>
                <c:pt idx="80">
                  <c:v>4218</c:v>
                </c:pt>
                <c:pt idx="81">
                  <c:v>4372</c:v>
                </c:pt>
                <c:pt idx="82">
                  <c:v>4000</c:v>
                </c:pt>
                <c:pt idx="83">
                  <c:v>3859</c:v>
                </c:pt>
                <c:pt idx="84">
                  <c:v>4085</c:v>
                </c:pt>
                <c:pt idx="85">
                  <c:v>4003</c:v>
                </c:pt>
                <c:pt idx="86">
                  <c:v>3906</c:v>
                </c:pt>
                <c:pt idx="87">
                  <c:v>3645</c:v>
                </c:pt>
                <c:pt idx="88">
                  <c:v>3924</c:v>
                </c:pt>
                <c:pt idx="89">
                  <c:v>4048</c:v>
                </c:pt>
                <c:pt idx="90">
                  <c:v>3706</c:v>
                </c:pt>
                <c:pt idx="91">
                  <c:v>3614</c:v>
                </c:pt>
                <c:pt idx="92">
                  <c:v>4172</c:v>
                </c:pt>
                <c:pt idx="93">
                  <c:v>4471</c:v>
                </c:pt>
                <c:pt idx="94">
                  <c:v>5343</c:v>
                </c:pt>
                <c:pt idx="95">
                  <c:v>5210</c:v>
                </c:pt>
                <c:pt idx="96">
                  <c:v>6519</c:v>
                </c:pt>
                <c:pt idx="97">
                  <c:v>6477</c:v>
                </c:pt>
                <c:pt idx="98">
                  <c:v>5960</c:v>
                </c:pt>
                <c:pt idx="99">
                  <c:v>5597</c:v>
                </c:pt>
                <c:pt idx="100">
                  <c:v>5674</c:v>
                </c:pt>
                <c:pt idx="101">
                  <c:v>5708</c:v>
                </c:pt>
                <c:pt idx="102">
                  <c:v>6076</c:v>
                </c:pt>
                <c:pt idx="103">
                  <c:v>5825</c:v>
                </c:pt>
                <c:pt idx="104">
                  <c:v>5122</c:v>
                </c:pt>
                <c:pt idx="105">
                  <c:v>6722</c:v>
                </c:pt>
                <c:pt idx="106">
                  <c:v>6576</c:v>
                </c:pt>
                <c:pt idx="107">
                  <c:v>4813</c:v>
                </c:pt>
                <c:pt idx="108">
                  <c:v>4825</c:v>
                </c:pt>
                <c:pt idx="109">
                  <c:v>4974</c:v>
                </c:pt>
                <c:pt idx="110">
                  <c:v>5173</c:v>
                </c:pt>
                <c:pt idx="111">
                  <c:v>4388</c:v>
                </c:pt>
                <c:pt idx="112">
                  <c:v>4141</c:v>
                </c:pt>
                <c:pt idx="113">
                  <c:v>5416</c:v>
                </c:pt>
                <c:pt idx="114">
                  <c:v>5040</c:v>
                </c:pt>
                <c:pt idx="115">
                  <c:v>5175</c:v>
                </c:pt>
                <c:pt idx="116">
                  <c:v>4950</c:v>
                </c:pt>
                <c:pt idx="117">
                  <c:v>4721</c:v>
                </c:pt>
                <c:pt idx="118">
                  <c:v>4982</c:v>
                </c:pt>
                <c:pt idx="119">
                  <c:v>5117</c:v>
                </c:pt>
                <c:pt idx="120">
                  <c:v>5969</c:v>
                </c:pt>
                <c:pt idx="121">
                  <c:v>22965</c:v>
                </c:pt>
                <c:pt idx="122">
                  <c:v>24926</c:v>
                </c:pt>
                <c:pt idx="123">
                  <c:v>19300</c:v>
                </c:pt>
                <c:pt idx="124">
                  <c:v>18031</c:v>
                </c:pt>
                <c:pt idx="125">
                  <c:v>17431</c:v>
                </c:pt>
                <c:pt idx="126">
                  <c:v>24994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7F-427D-80D6-586E291E5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96184"/>
        <c:axId val="444632520"/>
      </c:lineChart>
      <c:dateAx>
        <c:axId val="3930918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88616"/>
        <c:crosses val="autoZero"/>
        <c:auto val="1"/>
        <c:lblOffset val="100"/>
        <c:baseTimeUnit val="days"/>
      </c:dateAx>
      <c:valAx>
        <c:axId val="39308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091896"/>
        <c:crosses val="autoZero"/>
        <c:crossBetween val="between"/>
      </c:valAx>
      <c:valAx>
        <c:axId val="444632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96184"/>
        <c:crosses val="max"/>
        <c:crossBetween val="between"/>
      </c:valAx>
      <c:dateAx>
        <c:axId val="537696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4463252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iTrade - Funnel Ratio</a:t>
            </a:r>
            <a:r>
              <a:rPr lang="en-US" baseline="0"/>
              <a:t> - Weekly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Funnel_Weekly!$F$2</c:f>
              <c:strCache>
                <c:ptCount val="1"/>
                <c:pt idx="0">
                  <c:v>Consideration over Awareness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Funnel_Weekly!$A$3:$A$129</c15:sqref>
                  </c15:fullRef>
                </c:ext>
              </c:extLst>
              <c:f>Funnel_Weekly!$A$8:$A$129</c:f>
              <c:numCache>
                <c:formatCode>m/d/yyyy</c:formatCode>
                <c:ptCount val="122"/>
                <c:pt idx="0">
                  <c:v>43954</c:v>
                </c:pt>
                <c:pt idx="1">
                  <c:v>43961</c:v>
                </c:pt>
                <c:pt idx="2">
                  <c:v>43968</c:v>
                </c:pt>
                <c:pt idx="3">
                  <c:v>43975</c:v>
                </c:pt>
                <c:pt idx="4">
                  <c:v>43982</c:v>
                </c:pt>
                <c:pt idx="5">
                  <c:v>43989</c:v>
                </c:pt>
                <c:pt idx="6">
                  <c:v>43996</c:v>
                </c:pt>
                <c:pt idx="7">
                  <c:v>44003</c:v>
                </c:pt>
                <c:pt idx="8">
                  <c:v>44010</c:v>
                </c:pt>
                <c:pt idx="9">
                  <c:v>44017</c:v>
                </c:pt>
                <c:pt idx="10">
                  <c:v>44024</c:v>
                </c:pt>
                <c:pt idx="11">
                  <c:v>44031</c:v>
                </c:pt>
                <c:pt idx="12">
                  <c:v>44038</c:v>
                </c:pt>
                <c:pt idx="13">
                  <c:v>44045</c:v>
                </c:pt>
                <c:pt idx="14">
                  <c:v>44052</c:v>
                </c:pt>
                <c:pt idx="15">
                  <c:v>44059</c:v>
                </c:pt>
                <c:pt idx="16">
                  <c:v>44066</c:v>
                </c:pt>
                <c:pt idx="17">
                  <c:v>44073</c:v>
                </c:pt>
                <c:pt idx="18">
                  <c:v>44080</c:v>
                </c:pt>
                <c:pt idx="19">
                  <c:v>44087</c:v>
                </c:pt>
                <c:pt idx="20">
                  <c:v>44094</c:v>
                </c:pt>
                <c:pt idx="21">
                  <c:v>44101</c:v>
                </c:pt>
                <c:pt idx="22">
                  <c:v>44108</c:v>
                </c:pt>
                <c:pt idx="23">
                  <c:v>44115</c:v>
                </c:pt>
                <c:pt idx="24">
                  <c:v>44122</c:v>
                </c:pt>
                <c:pt idx="25">
                  <c:v>44129</c:v>
                </c:pt>
                <c:pt idx="26">
                  <c:v>44136</c:v>
                </c:pt>
                <c:pt idx="27">
                  <c:v>44143</c:v>
                </c:pt>
                <c:pt idx="28">
                  <c:v>44150</c:v>
                </c:pt>
                <c:pt idx="29">
                  <c:v>44157</c:v>
                </c:pt>
                <c:pt idx="30">
                  <c:v>44164</c:v>
                </c:pt>
                <c:pt idx="31">
                  <c:v>44171</c:v>
                </c:pt>
                <c:pt idx="32">
                  <c:v>44178</c:v>
                </c:pt>
                <c:pt idx="33">
                  <c:v>44185</c:v>
                </c:pt>
                <c:pt idx="34">
                  <c:v>44192</c:v>
                </c:pt>
                <c:pt idx="35">
                  <c:v>44199</c:v>
                </c:pt>
                <c:pt idx="36">
                  <c:v>44206</c:v>
                </c:pt>
                <c:pt idx="37">
                  <c:v>44213</c:v>
                </c:pt>
                <c:pt idx="38">
                  <c:v>44220</c:v>
                </c:pt>
                <c:pt idx="39">
                  <c:v>44227</c:v>
                </c:pt>
                <c:pt idx="40">
                  <c:v>44234</c:v>
                </c:pt>
                <c:pt idx="41">
                  <c:v>44241</c:v>
                </c:pt>
                <c:pt idx="42">
                  <c:v>44248</c:v>
                </c:pt>
                <c:pt idx="43">
                  <c:v>44255</c:v>
                </c:pt>
                <c:pt idx="44">
                  <c:v>44262</c:v>
                </c:pt>
                <c:pt idx="45">
                  <c:v>44269</c:v>
                </c:pt>
                <c:pt idx="46">
                  <c:v>44276</c:v>
                </c:pt>
                <c:pt idx="47">
                  <c:v>44283</c:v>
                </c:pt>
                <c:pt idx="48">
                  <c:v>44290</c:v>
                </c:pt>
                <c:pt idx="49">
                  <c:v>44297</c:v>
                </c:pt>
                <c:pt idx="50">
                  <c:v>44304</c:v>
                </c:pt>
                <c:pt idx="51">
                  <c:v>44311</c:v>
                </c:pt>
                <c:pt idx="52">
                  <c:v>44318</c:v>
                </c:pt>
                <c:pt idx="53">
                  <c:v>44325</c:v>
                </c:pt>
                <c:pt idx="54">
                  <c:v>44332</c:v>
                </c:pt>
                <c:pt idx="55">
                  <c:v>44339</c:v>
                </c:pt>
                <c:pt idx="56">
                  <c:v>44346</c:v>
                </c:pt>
                <c:pt idx="57">
                  <c:v>44353</c:v>
                </c:pt>
                <c:pt idx="58">
                  <c:v>44360</c:v>
                </c:pt>
                <c:pt idx="59">
                  <c:v>44367</c:v>
                </c:pt>
                <c:pt idx="60">
                  <c:v>44374</c:v>
                </c:pt>
                <c:pt idx="61">
                  <c:v>44381</c:v>
                </c:pt>
                <c:pt idx="62">
                  <c:v>44388</c:v>
                </c:pt>
                <c:pt idx="63">
                  <c:v>44395</c:v>
                </c:pt>
                <c:pt idx="64">
                  <c:v>44402</c:v>
                </c:pt>
                <c:pt idx="65">
                  <c:v>44409</c:v>
                </c:pt>
                <c:pt idx="66">
                  <c:v>44416</c:v>
                </c:pt>
                <c:pt idx="67">
                  <c:v>44423</c:v>
                </c:pt>
                <c:pt idx="68">
                  <c:v>44430</c:v>
                </c:pt>
                <c:pt idx="69">
                  <c:v>44437</c:v>
                </c:pt>
                <c:pt idx="70">
                  <c:v>44444</c:v>
                </c:pt>
                <c:pt idx="71">
                  <c:v>44451</c:v>
                </c:pt>
                <c:pt idx="72">
                  <c:v>44458</c:v>
                </c:pt>
                <c:pt idx="73">
                  <c:v>44465</c:v>
                </c:pt>
                <c:pt idx="74">
                  <c:v>44472</c:v>
                </c:pt>
                <c:pt idx="75">
                  <c:v>44479</c:v>
                </c:pt>
                <c:pt idx="76">
                  <c:v>44486</c:v>
                </c:pt>
                <c:pt idx="77">
                  <c:v>44493</c:v>
                </c:pt>
                <c:pt idx="78">
                  <c:v>44500</c:v>
                </c:pt>
                <c:pt idx="79">
                  <c:v>44507</c:v>
                </c:pt>
                <c:pt idx="80">
                  <c:v>44514</c:v>
                </c:pt>
                <c:pt idx="81">
                  <c:v>44521</c:v>
                </c:pt>
                <c:pt idx="82">
                  <c:v>44528</c:v>
                </c:pt>
                <c:pt idx="83">
                  <c:v>44535</c:v>
                </c:pt>
                <c:pt idx="84">
                  <c:v>44542</c:v>
                </c:pt>
                <c:pt idx="85">
                  <c:v>44549</c:v>
                </c:pt>
                <c:pt idx="86">
                  <c:v>44556</c:v>
                </c:pt>
                <c:pt idx="87">
                  <c:v>44563</c:v>
                </c:pt>
                <c:pt idx="88">
                  <c:v>44570</c:v>
                </c:pt>
                <c:pt idx="89">
                  <c:v>44577</c:v>
                </c:pt>
                <c:pt idx="90">
                  <c:v>44584</c:v>
                </c:pt>
                <c:pt idx="91">
                  <c:v>44591</c:v>
                </c:pt>
                <c:pt idx="92">
                  <c:v>44598</c:v>
                </c:pt>
                <c:pt idx="93">
                  <c:v>44605</c:v>
                </c:pt>
                <c:pt idx="94">
                  <c:v>44612</c:v>
                </c:pt>
                <c:pt idx="95">
                  <c:v>44619</c:v>
                </c:pt>
                <c:pt idx="96">
                  <c:v>44626</c:v>
                </c:pt>
                <c:pt idx="97">
                  <c:v>44633</c:v>
                </c:pt>
                <c:pt idx="98">
                  <c:v>44640</c:v>
                </c:pt>
                <c:pt idx="99">
                  <c:v>44647</c:v>
                </c:pt>
                <c:pt idx="100">
                  <c:v>44654</c:v>
                </c:pt>
                <c:pt idx="101">
                  <c:v>44661</c:v>
                </c:pt>
                <c:pt idx="102">
                  <c:v>44668</c:v>
                </c:pt>
                <c:pt idx="103">
                  <c:v>44675</c:v>
                </c:pt>
                <c:pt idx="104">
                  <c:v>44682</c:v>
                </c:pt>
                <c:pt idx="105">
                  <c:v>44689</c:v>
                </c:pt>
                <c:pt idx="106">
                  <c:v>44696</c:v>
                </c:pt>
                <c:pt idx="107">
                  <c:v>44703</c:v>
                </c:pt>
                <c:pt idx="108">
                  <c:v>44710</c:v>
                </c:pt>
                <c:pt idx="109">
                  <c:v>44717</c:v>
                </c:pt>
                <c:pt idx="110">
                  <c:v>44724</c:v>
                </c:pt>
                <c:pt idx="111">
                  <c:v>44731</c:v>
                </c:pt>
                <c:pt idx="112">
                  <c:v>44738</c:v>
                </c:pt>
                <c:pt idx="113">
                  <c:v>44745</c:v>
                </c:pt>
                <c:pt idx="114">
                  <c:v>44752</c:v>
                </c:pt>
                <c:pt idx="115">
                  <c:v>44759</c:v>
                </c:pt>
                <c:pt idx="116">
                  <c:v>44766</c:v>
                </c:pt>
                <c:pt idx="117">
                  <c:v>44773</c:v>
                </c:pt>
                <c:pt idx="118">
                  <c:v>44780</c:v>
                </c:pt>
                <c:pt idx="119">
                  <c:v>44787</c:v>
                </c:pt>
                <c:pt idx="120">
                  <c:v>44794</c:v>
                </c:pt>
                <c:pt idx="121">
                  <c:v>44801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Funnel_Weekly!$F$3:$F$129</c15:sqref>
                  </c15:fullRef>
                </c:ext>
              </c:extLst>
              <c:f>Funnel_Weekly!$F$8:$F$129</c:f>
              <c:numCache>
                <c:formatCode>0.00</c:formatCode>
                <c:ptCount val="122"/>
                <c:pt idx="0">
                  <c:v>5.8878901419369125</c:v>
                </c:pt>
                <c:pt idx="1">
                  <c:v>5.4981992797118853</c:v>
                </c:pt>
                <c:pt idx="2">
                  <c:v>4.6444356606417765</c:v>
                </c:pt>
                <c:pt idx="3">
                  <c:v>5.0349623108237083</c:v>
                </c:pt>
                <c:pt idx="4">
                  <c:v>5.0951700270839604</c:v>
                </c:pt>
                <c:pt idx="5">
                  <c:v>6.1187163997117997</c:v>
                </c:pt>
                <c:pt idx="6">
                  <c:v>5.3091219998778572</c:v>
                </c:pt>
                <c:pt idx="7">
                  <c:v>4.5709478407178912</c:v>
                </c:pt>
                <c:pt idx="8">
                  <c:v>4.5123185263201373</c:v>
                </c:pt>
                <c:pt idx="9">
                  <c:v>4.3714863053438169</c:v>
                </c:pt>
                <c:pt idx="10">
                  <c:v>5.0783034935404814</c:v>
                </c:pt>
                <c:pt idx="11">
                  <c:v>4.6150099443925807</c:v>
                </c:pt>
                <c:pt idx="12">
                  <c:v>4.8843448920687838</c:v>
                </c:pt>
                <c:pt idx="13">
                  <c:v>3.6100330371748401</c:v>
                </c:pt>
                <c:pt idx="14">
                  <c:v>5.0629558697689578</c:v>
                </c:pt>
                <c:pt idx="15">
                  <c:v>4.8170117081491819</c:v>
                </c:pt>
                <c:pt idx="16">
                  <c:v>5.0121726848668438</c:v>
                </c:pt>
                <c:pt idx="17">
                  <c:v>4.377848600116514</c:v>
                </c:pt>
                <c:pt idx="18">
                  <c:v>6.4762114053400728</c:v>
                </c:pt>
                <c:pt idx="19">
                  <c:v>4.1571620440445987</c:v>
                </c:pt>
                <c:pt idx="20">
                  <c:v>4.8418485779267977</c:v>
                </c:pt>
                <c:pt idx="21">
                  <c:v>4.1002637332912562</c:v>
                </c:pt>
                <c:pt idx="22">
                  <c:v>3.4622120436481203</c:v>
                </c:pt>
                <c:pt idx="23">
                  <c:v>3.8324458948814839</c:v>
                </c:pt>
                <c:pt idx="24">
                  <c:v>4.1339811018006776</c:v>
                </c:pt>
                <c:pt idx="25">
                  <c:v>4.6038671530410316</c:v>
                </c:pt>
                <c:pt idx="26">
                  <c:v>4.2000089409450583</c:v>
                </c:pt>
                <c:pt idx="27">
                  <c:v>4.4742761564194256</c:v>
                </c:pt>
                <c:pt idx="28">
                  <c:v>5.1072304425827477</c:v>
                </c:pt>
                <c:pt idx="29">
                  <c:v>4.4376049244543925</c:v>
                </c:pt>
                <c:pt idx="30">
                  <c:v>6.11519098425015</c:v>
                </c:pt>
                <c:pt idx="31">
                  <c:v>5.7845631891433413</c:v>
                </c:pt>
                <c:pt idx="32">
                  <c:v>6.4274672524611498</c:v>
                </c:pt>
                <c:pt idx="33">
                  <c:v>5.8958520256746496</c:v>
                </c:pt>
                <c:pt idx="34">
                  <c:v>3.3411913447735446</c:v>
                </c:pt>
                <c:pt idx="35">
                  <c:v>6.5216849451645063</c:v>
                </c:pt>
                <c:pt idx="36">
                  <c:v>6.9914536350288019</c:v>
                </c:pt>
                <c:pt idx="37">
                  <c:v>7.388790153584976</c:v>
                </c:pt>
                <c:pt idx="38">
                  <c:v>4.0068775354969572</c:v>
                </c:pt>
                <c:pt idx="39">
                  <c:v>7.5127761840530427</c:v>
                </c:pt>
                <c:pt idx="40">
                  <c:v>7.6768519956514982</c:v>
                </c:pt>
                <c:pt idx="41">
                  <c:v>8.6196225957162795</c:v>
                </c:pt>
                <c:pt idx="42">
                  <c:v>6.3940325540382732</c:v>
                </c:pt>
                <c:pt idx="43">
                  <c:v>7.5974996602799303</c:v>
                </c:pt>
                <c:pt idx="44">
                  <c:v>5.6943595119536417</c:v>
                </c:pt>
                <c:pt idx="45">
                  <c:v>5.4907685151024204</c:v>
                </c:pt>
                <c:pt idx="46">
                  <c:v>5.5837074430165119</c:v>
                </c:pt>
                <c:pt idx="47">
                  <c:v>3.7399839743589745</c:v>
                </c:pt>
                <c:pt idx="48">
                  <c:v>3.5951551096647472</c:v>
                </c:pt>
                <c:pt idx="49">
                  <c:v>4.0977913599110991</c:v>
                </c:pt>
                <c:pt idx="50">
                  <c:v>4.8602247931162257</c:v>
                </c:pt>
                <c:pt idx="51">
                  <c:v>4.2052227101631114</c:v>
                </c:pt>
                <c:pt idx="52">
                  <c:v>4.080472417840376</c:v>
                </c:pt>
                <c:pt idx="53">
                  <c:v>4.640347875103175</c:v>
                </c:pt>
                <c:pt idx="54">
                  <c:v>4.4591640149793275</c:v>
                </c:pt>
                <c:pt idx="55">
                  <c:v>3.8922867454777292</c:v>
                </c:pt>
                <c:pt idx="56">
                  <c:v>3.7074333627900287</c:v>
                </c:pt>
                <c:pt idx="57">
                  <c:v>4.4931946910136107</c:v>
                </c:pt>
                <c:pt idx="58">
                  <c:v>4.5069145318521882</c:v>
                </c:pt>
                <c:pt idx="59">
                  <c:v>4.106690230914122</c:v>
                </c:pt>
                <c:pt idx="60">
                  <c:v>3.3546397282317182</c:v>
                </c:pt>
                <c:pt idx="61">
                  <c:v>3.0726522089878041</c:v>
                </c:pt>
                <c:pt idx="62">
                  <c:v>3.6489715354248906</c:v>
                </c:pt>
                <c:pt idx="63">
                  <c:v>3.487884838176933</c:v>
                </c:pt>
                <c:pt idx="64">
                  <c:v>3.2960426577447857</c:v>
                </c:pt>
                <c:pt idx="65">
                  <c:v>3.1748052344824078</c:v>
                </c:pt>
                <c:pt idx="66">
                  <c:v>2.8886580600484741</c:v>
                </c:pt>
                <c:pt idx="67">
                  <c:v>3.6577669236890484</c:v>
                </c:pt>
                <c:pt idx="68">
                  <c:v>2.963114103697658</c:v>
                </c:pt>
                <c:pt idx="69">
                  <c:v>2.7221794097431946</c:v>
                </c:pt>
                <c:pt idx="70">
                  <c:v>3.3060049819826354</c:v>
                </c:pt>
                <c:pt idx="71">
                  <c:v>2.8410765150771042</c:v>
                </c:pt>
                <c:pt idx="72">
                  <c:v>3.1991264549404081</c:v>
                </c:pt>
                <c:pt idx="73">
                  <c:v>3.1535440263061743</c:v>
                </c:pt>
                <c:pt idx="74">
                  <c:v>2.913932437279767</c:v>
                </c:pt>
                <c:pt idx="75">
                  <c:v>3.10726830586328</c:v>
                </c:pt>
                <c:pt idx="76">
                  <c:v>2.5105109961190171</c:v>
                </c:pt>
                <c:pt idx="77">
                  <c:v>3.9833469319441832</c:v>
                </c:pt>
                <c:pt idx="78">
                  <c:v>3.7362957415382057</c:v>
                </c:pt>
                <c:pt idx="79">
                  <c:v>3.8461538461538463</c:v>
                </c:pt>
                <c:pt idx="80">
                  <c:v>4.1345081662548928</c:v>
                </c:pt>
                <c:pt idx="81">
                  <c:v>3.9218290064847401</c:v>
                </c:pt>
                <c:pt idx="82">
                  <c:v>4.1977458293136305</c:v>
                </c:pt>
                <c:pt idx="83">
                  <c:v>4.0249012330899081</c:v>
                </c:pt>
                <c:pt idx="84">
                  <c:v>2.2084278381282081</c:v>
                </c:pt>
                <c:pt idx="85">
                  <c:v>3.8677395361417268</c:v>
                </c:pt>
                <c:pt idx="86">
                  <c:v>2.8324120495350731</c:v>
                </c:pt>
                <c:pt idx="87">
                  <c:v>2.463480329512612</c:v>
                </c:pt>
                <c:pt idx="88">
                  <c:v>2.7403258194555584</c:v>
                </c:pt>
                <c:pt idx="89">
                  <c:v>3.3449152965037992</c:v>
                </c:pt>
                <c:pt idx="90">
                  <c:v>3.2184790606904055</c:v>
                </c:pt>
                <c:pt idx="91">
                  <c:v>3.9285775662066715</c:v>
                </c:pt>
                <c:pt idx="92">
                  <c:v>3.5251406788890902</c:v>
                </c:pt>
                <c:pt idx="93">
                  <c:v>3.9654561004610027</c:v>
                </c:pt>
                <c:pt idx="94">
                  <c:v>3.6478473833462233</c:v>
                </c:pt>
                <c:pt idx="95">
                  <c:v>3.5409724967526963</c:v>
                </c:pt>
                <c:pt idx="96">
                  <c:v>3.9825983784852679</c:v>
                </c:pt>
                <c:pt idx="97">
                  <c:v>3.4170456792564758</c:v>
                </c:pt>
                <c:pt idx="98">
                  <c:v>3.2246879334257974</c:v>
                </c:pt>
                <c:pt idx="99">
                  <c:v>3.4865258236669168</c:v>
                </c:pt>
                <c:pt idx="100">
                  <c:v>4.0886571056062584</c:v>
                </c:pt>
                <c:pt idx="101">
                  <c:v>3.7694206475969216</c:v>
                </c:pt>
                <c:pt idx="102">
                  <c:v>2.9415672415167538</c:v>
                </c:pt>
                <c:pt idx="103">
                  <c:v>3.7608123354644607</c:v>
                </c:pt>
                <c:pt idx="104">
                  <c:v>2.4726151228331386</c:v>
                </c:pt>
                <c:pt idx="105">
                  <c:v>2.9742293631809362</c:v>
                </c:pt>
                <c:pt idx="106">
                  <c:v>4.3548837091333352</c:v>
                </c:pt>
                <c:pt idx="107">
                  <c:v>5.0086655112651641</c:v>
                </c:pt>
                <c:pt idx="108">
                  <c:v>3.8253456473031315</c:v>
                </c:pt>
                <c:pt idx="109">
                  <c:v>3.5953820780648709</c:v>
                </c:pt>
                <c:pt idx="110">
                  <c:v>3.5162392235536513</c:v>
                </c:pt>
                <c:pt idx="111">
                  <c:v>3.73366138705213</c:v>
                </c:pt>
                <c:pt idx="112">
                  <c:v>4.0005766596986954</c:v>
                </c:pt>
                <c:pt idx="113">
                  <c:v>3.0619692144373674</c:v>
                </c:pt>
                <c:pt idx="114">
                  <c:v>3.6918806384455238</c:v>
                </c:pt>
                <c:pt idx="115">
                  <c:v>3.3672567819627601</c:v>
                </c:pt>
                <c:pt idx="116">
                  <c:v>3.0845262440354468</c:v>
                </c:pt>
                <c:pt idx="117">
                  <c:v>3.2308852953717979</c:v>
                </c:pt>
                <c:pt idx="118">
                  <c:v>2.561560515527451</c:v>
                </c:pt>
                <c:pt idx="119">
                  <c:v>3.375645138792021</c:v>
                </c:pt>
                <c:pt idx="120">
                  <c:v>4.2597788971905741</c:v>
                </c:pt>
                <c:pt idx="121">
                  <c:v>4.1021237242791564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32-4C35-B425-242889F30035}"/>
            </c:ext>
          </c:extLst>
        </c:ser>
        <c:ser>
          <c:idx val="1"/>
          <c:order val="1"/>
          <c:tx>
            <c:strRef>
              <c:f>Funnel_Weekly!$G$2</c:f>
              <c:strCache>
                <c:ptCount val="1"/>
                <c:pt idx="0">
                  <c:v>Conversion over Awareness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Funnel_Weekly!$A$3:$A$129</c15:sqref>
                  </c15:fullRef>
                </c:ext>
              </c:extLst>
              <c:f>Funnel_Weekly!$A$8:$A$129</c:f>
              <c:numCache>
                <c:formatCode>m/d/yyyy</c:formatCode>
                <c:ptCount val="122"/>
                <c:pt idx="0">
                  <c:v>43954</c:v>
                </c:pt>
                <c:pt idx="1">
                  <c:v>43961</c:v>
                </c:pt>
                <c:pt idx="2">
                  <c:v>43968</c:v>
                </c:pt>
                <c:pt idx="3">
                  <c:v>43975</c:v>
                </c:pt>
                <c:pt idx="4">
                  <c:v>43982</c:v>
                </c:pt>
                <c:pt idx="5">
                  <c:v>43989</c:v>
                </c:pt>
                <c:pt idx="6">
                  <c:v>43996</c:v>
                </c:pt>
                <c:pt idx="7">
                  <c:v>44003</c:v>
                </c:pt>
                <c:pt idx="8">
                  <c:v>44010</c:v>
                </c:pt>
                <c:pt idx="9">
                  <c:v>44017</c:v>
                </c:pt>
                <c:pt idx="10">
                  <c:v>44024</c:v>
                </c:pt>
                <c:pt idx="11">
                  <c:v>44031</c:v>
                </c:pt>
                <c:pt idx="12">
                  <c:v>44038</c:v>
                </c:pt>
                <c:pt idx="13">
                  <c:v>44045</c:v>
                </c:pt>
                <c:pt idx="14">
                  <c:v>44052</c:v>
                </c:pt>
                <c:pt idx="15">
                  <c:v>44059</c:v>
                </c:pt>
                <c:pt idx="16">
                  <c:v>44066</c:v>
                </c:pt>
                <c:pt idx="17">
                  <c:v>44073</c:v>
                </c:pt>
                <c:pt idx="18">
                  <c:v>44080</c:v>
                </c:pt>
                <c:pt idx="19">
                  <c:v>44087</c:v>
                </c:pt>
                <c:pt idx="20">
                  <c:v>44094</c:v>
                </c:pt>
                <c:pt idx="21">
                  <c:v>44101</c:v>
                </c:pt>
                <c:pt idx="22">
                  <c:v>44108</c:v>
                </c:pt>
                <c:pt idx="23">
                  <c:v>44115</c:v>
                </c:pt>
                <c:pt idx="24">
                  <c:v>44122</c:v>
                </c:pt>
                <c:pt idx="25">
                  <c:v>44129</c:v>
                </c:pt>
                <c:pt idx="26">
                  <c:v>44136</c:v>
                </c:pt>
                <c:pt idx="27">
                  <c:v>44143</c:v>
                </c:pt>
                <c:pt idx="28">
                  <c:v>44150</c:v>
                </c:pt>
                <c:pt idx="29">
                  <c:v>44157</c:v>
                </c:pt>
                <c:pt idx="30">
                  <c:v>44164</c:v>
                </c:pt>
                <c:pt idx="31">
                  <c:v>44171</c:v>
                </c:pt>
                <c:pt idx="32">
                  <c:v>44178</c:v>
                </c:pt>
                <c:pt idx="33">
                  <c:v>44185</c:v>
                </c:pt>
                <c:pt idx="34">
                  <c:v>44192</c:v>
                </c:pt>
                <c:pt idx="35">
                  <c:v>44199</c:v>
                </c:pt>
                <c:pt idx="36">
                  <c:v>44206</c:v>
                </c:pt>
                <c:pt idx="37">
                  <c:v>44213</c:v>
                </c:pt>
                <c:pt idx="38">
                  <c:v>44220</c:v>
                </c:pt>
                <c:pt idx="39">
                  <c:v>44227</c:v>
                </c:pt>
                <c:pt idx="40">
                  <c:v>44234</c:v>
                </c:pt>
                <c:pt idx="41">
                  <c:v>44241</c:v>
                </c:pt>
                <c:pt idx="42">
                  <c:v>44248</c:v>
                </c:pt>
                <c:pt idx="43">
                  <c:v>44255</c:v>
                </c:pt>
                <c:pt idx="44">
                  <c:v>44262</c:v>
                </c:pt>
                <c:pt idx="45">
                  <c:v>44269</c:v>
                </c:pt>
                <c:pt idx="46">
                  <c:v>44276</c:v>
                </c:pt>
                <c:pt idx="47">
                  <c:v>44283</c:v>
                </c:pt>
                <c:pt idx="48">
                  <c:v>44290</c:v>
                </c:pt>
                <c:pt idx="49">
                  <c:v>44297</c:v>
                </c:pt>
                <c:pt idx="50">
                  <c:v>44304</c:v>
                </c:pt>
                <c:pt idx="51">
                  <c:v>44311</c:v>
                </c:pt>
                <c:pt idx="52">
                  <c:v>44318</c:v>
                </c:pt>
                <c:pt idx="53">
                  <c:v>44325</c:v>
                </c:pt>
                <c:pt idx="54">
                  <c:v>44332</c:v>
                </c:pt>
                <c:pt idx="55">
                  <c:v>44339</c:v>
                </c:pt>
                <c:pt idx="56">
                  <c:v>44346</c:v>
                </c:pt>
                <c:pt idx="57">
                  <c:v>44353</c:v>
                </c:pt>
                <c:pt idx="58">
                  <c:v>44360</c:v>
                </c:pt>
                <c:pt idx="59">
                  <c:v>44367</c:v>
                </c:pt>
                <c:pt idx="60">
                  <c:v>44374</c:v>
                </c:pt>
                <c:pt idx="61">
                  <c:v>44381</c:v>
                </c:pt>
                <c:pt idx="62">
                  <c:v>44388</c:v>
                </c:pt>
                <c:pt idx="63">
                  <c:v>44395</c:v>
                </c:pt>
                <c:pt idx="64">
                  <c:v>44402</c:v>
                </c:pt>
                <c:pt idx="65">
                  <c:v>44409</c:v>
                </c:pt>
                <c:pt idx="66">
                  <c:v>44416</c:v>
                </c:pt>
                <c:pt idx="67">
                  <c:v>44423</c:v>
                </c:pt>
                <c:pt idx="68">
                  <c:v>44430</c:v>
                </c:pt>
                <c:pt idx="69">
                  <c:v>44437</c:v>
                </c:pt>
                <c:pt idx="70">
                  <c:v>44444</c:v>
                </c:pt>
                <c:pt idx="71">
                  <c:v>44451</c:v>
                </c:pt>
                <c:pt idx="72">
                  <c:v>44458</c:v>
                </c:pt>
                <c:pt idx="73">
                  <c:v>44465</c:v>
                </c:pt>
                <c:pt idx="74">
                  <c:v>44472</c:v>
                </c:pt>
                <c:pt idx="75">
                  <c:v>44479</c:v>
                </c:pt>
                <c:pt idx="76">
                  <c:v>44486</c:v>
                </c:pt>
                <c:pt idx="77">
                  <c:v>44493</c:v>
                </c:pt>
                <c:pt idx="78">
                  <c:v>44500</c:v>
                </c:pt>
                <c:pt idx="79">
                  <c:v>44507</c:v>
                </c:pt>
                <c:pt idx="80">
                  <c:v>44514</c:v>
                </c:pt>
                <c:pt idx="81">
                  <c:v>44521</c:v>
                </c:pt>
                <c:pt idx="82">
                  <c:v>44528</c:v>
                </c:pt>
                <c:pt idx="83">
                  <c:v>44535</c:v>
                </c:pt>
                <c:pt idx="84">
                  <c:v>44542</c:v>
                </c:pt>
                <c:pt idx="85">
                  <c:v>44549</c:v>
                </c:pt>
                <c:pt idx="86">
                  <c:v>44556</c:v>
                </c:pt>
                <c:pt idx="87">
                  <c:v>44563</c:v>
                </c:pt>
                <c:pt idx="88">
                  <c:v>44570</c:v>
                </c:pt>
                <c:pt idx="89">
                  <c:v>44577</c:v>
                </c:pt>
                <c:pt idx="90">
                  <c:v>44584</c:v>
                </c:pt>
                <c:pt idx="91">
                  <c:v>44591</c:v>
                </c:pt>
                <c:pt idx="92">
                  <c:v>44598</c:v>
                </c:pt>
                <c:pt idx="93">
                  <c:v>44605</c:v>
                </c:pt>
                <c:pt idx="94">
                  <c:v>44612</c:v>
                </c:pt>
                <c:pt idx="95">
                  <c:v>44619</c:v>
                </c:pt>
                <c:pt idx="96">
                  <c:v>44626</c:v>
                </c:pt>
                <c:pt idx="97">
                  <c:v>44633</c:v>
                </c:pt>
                <c:pt idx="98">
                  <c:v>44640</c:v>
                </c:pt>
                <c:pt idx="99">
                  <c:v>44647</c:v>
                </c:pt>
                <c:pt idx="100">
                  <c:v>44654</c:v>
                </c:pt>
                <c:pt idx="101">
                  <c:v>44661</c:v>
                </c:pt>
                <c:pt idx="102">
                  <c:v>44668</c:v>
                </c:pt>
                <c:pt idx="103">
                  <c:v>44675</c:v>
                </c:pt>
                <c:pt idx="104">
                  <c:v>44682</c:v>
                </c:pt>
                <c:pt idx="105">
                  <c:v>44689</c:v>
                </c:pt>
                <c:pt idx="106">
                  <c:v>44696</c:v>
                </c:pt>
                <c:pt idx="107">
                  <c:v>44703</c:v>
                </c:pt>
                <c:pt idx="108">
                  <c:v>44710</c:v>
                </c:pt>
                <c:pt idx="109">
                  <c:v>44717</c:v>
                </c:pt>
                <c:pt idx="110">
                  <c:v>44724</c:v>
                </c:pt>
                <c:pt idx="111">
                  <c:v>44731</c:v>
                </c:pt>
                <c:pt idx="112">
                  <c:v>44738</c:v>
                </c:pt>
                <c:pt idx="113">
                  <c:v>44745</c:v>
                </c:pt>
                <c:pt idx="114">
                  <c:v>44752</c:v>
                </c:pt>
                <c:pt idx="115">
                  <c:v>44759</c:v>
                </c:pt>
                <c:pt idx="116">
                  <c:v>44766</c:v>
                </c:pt>
                <c:pt idx="117">
                  <c:v>44773</c:v>
                </c:pt>
                <c:pt idx="118">
                  <c:v>44780</c:v>
                </c:pt>
                <c:pt idx="119">
                  <c:v>44787</c:v>
                </c:pt>
                <c:pt idx="120">
                  <c:v>44794</c:v>
                </c:pt>
                <c:pt idx="121">
                  <c:v>44801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Funnel_Weekly!$G$3:$G$129</c15:sqref>
                  </c15:fullRef>
                </c:ext>
              </c:extLst>
              <c:f>Funnel_Weekly!$G$8:$G$129</c:f>
              <c:numCache>
                <c:formatCode>0.00</c:formatCode>
                <c:ptCount val="122"/>
                <c:pt idx="0">
                  <c:v>2.7741375809815612</c:v>
                </c:pt>
                <c:pt idx="1">
                  <c:v>2.5265490811709297</c:v>
                </c:pt>
                <c:pt idx="2">
                  <c:v>2.0985303101081607</c:v>
                </c:pt>
                <c:pt idx="3">
                  <c:v>2.2749849048518724</c:v>
                </c:pt>
                <c:pt idx="4">
                  <c:v>2.3002557929581702</c:v>
                </c:pt>
                <c:pt idx="5">
                  <c:v>2.8505976463633171</c:v>
                </c:pt>
                <c:pt idx="6">
                  <c:v>2.1354558964232639</c:v>
                </c:pt>
                <c:pt idx="7">
                  <c:v>1.8385445877734157</c:v>
                </c:pt>
                <c:pt idx="8">
                  <c:v>1.8524255002787933</c:v>
                </c:pt>
                <c:pt idx="9">
                  <c:v>1.7946101674569355</c:v>
                </c:pt>
                <c:pt idx="10">
                  <c:v>2.1247871058862624</c:v>
                </c:pt>
                <c:pt idx="11">
                  <c:v>1.8366684255388237</c:v>
                </c:pt>
                <c:pt idx="12">
                  <c:v>1.5772998902394406</c:v>
                </c:pt>
                <c:pt idx="13">
                  <c:v>1.4754466433588864</c:v>
                </c:pt>
                <c:pt idx="14">
                  <c:v>2.1046412126645206</c:v>
                </c:pt>
                <c:pt idx="15">
                  <c:v>2.0024036597658368</c:v>
                </c:pt>
                <c:pt idx="16">
                  <c:v>1.9550632793770557</c:v>
                </c:pt>
                <c:pt idx="17">
                  <c:v>1.7819814262705185</c:v>
                </c:pt>
                <c:pt idx="18">
                  <c:v>2.8348533128227666</c:v>
                </c:pt>
                <c:pt idx="19">
                  <c:v>1.79290937386744</c:v>
                </c:pt>
                <c:pt idx="20">
                  <c:v>2.131351262632184</c:v>
                </c:pt>
                <c:pt idx="21">
                  <c:v>1.7176475892072223</c:v>
                </c:pt>
                <c:pt idx="22">
                  <c:v>1.5376917303362136</c:v>
                </c:pt>
                <c:pt idx="23">
                  <c:v>1.6918584678804534</c:v>
                </c:pt>
                <c:pt idx="24">
                  <c:v>1.7962203601354965</c:v>
                </c:pt>
                <c:pt idx="25">
                  <c:v>1.8334406217962471</c:v>
                </c:pt>
                <c:pt idx="26">
                  <c:v>1.7568957038758997</c:v>
                </c:pt>
                <c:pt idx="27">
                  <c:v>1.7303033798592686</c:v>
                </c:pt>
                <c:pt idx="28">
                  <c:v>1.9750810606185296</c:v>
                </c:pt>
                <c:pt idx="29">
                  <c:v>1.5808617795187465</c:v>
                </c:pt>
                <c:pt idx="30">
                  <c:v>2.4971902760457563</c:v>
                </c:pt>
                <c:pt idx="31">
                  <c:v>2.3039555863983345</c:v>
                </c:pt>
                <c:pt idx="32">
                  <c:v>2.7483524530144008</c:v>
                </c:pt>
                <c:pt idx="33">
                  <c:v>2.4380564566222653</c:v>
                </c:pt>
                <c:pt idx="34">
                  <c:v>1.4407817623895378</c:v>
                </c:pt>
                <c:pt idx="35">
                  <c:v>2.7978564307078764</c:v>
                </c:pt>
                <c:pt idx="36">
                  <c:v>2.8876924814577762</c:v>
                </c:pt>
                <c:pt idx="37">
                  <c:v>3.0518050876681082</c:v>
                </c:pt>
                <c:pt idx="38">
                  <c:v>1.6948212474645028</c:v>
                </c:pt>
                <c:pt idx="39">
                  <c:v>3.3218078537910598</c:v>
                </c:pt>
                <c:pt idx="40">
                  <c:v>3.3943547134648235</c:v>
                </c:pt>
                <c:pt idx="41">
                  <c:v>4.0167465566409808</c:v>
                </c:pt>
                <c:pt idx="42">
                  <c:v>3.0290031219465696</c:v>
                </c:pt>
                <c:pt idx="43">
                  <c:v>3.5276532137518681</c:v>
                </c:pt>
                <c:pt idx="44">
                  <c:v>2.5960222474593051</c:v>
                </c:pt>
                <c:pt idx="45">
                  <c:v>2.4863252113376428</c:v>
                </c:pt>
                <c:pt idx="46">
                  <c:v>2.339068611394771</c:v>
                </c:pt>
                <c:pt idx="47">
                  <c:v>1.6326121794871795</c:v>
                </c:pt>
                <c:pt idx="48">
                  <c:v>1.5693901523174982</c:v>
                </c:pt>
                <c:pt idx="49">
                  <c:v>1.6510229595380312</c:v>
                </c:pt>
                <c:pt idx="50">
                  <c:v>2.1244184610317429</c:v>
                </c:pt>
                <c:pt idx="51">
                  <c:v>1.7467848180677541</c:v>
                </c:pt>
                <c:pt idx="52">
                  <c:v>1.722051056338028</c:v>
                </c:pt>
                <c:pt idx="53">
                  <c:v>1.976929116421396</c:v>
                </c:pt>
                <c:pt idx="54">
                  <c:v>1.9200380977119724</c:v>
                </c:pt>
                <c:pt idx="55">
                  <c:v>1.6770763545201097</c:v>
                </c:pt>
                <c:pt idx="56">
                  <c:v>1.7591812408804128</c:v>
                </c:pt>
                <c:pt idx="57">
                  <c:v>2.0838616958322764</c:v>
                </c:pt>
                <c:pt idx="58">
                  <c:v>2.1627748809793697</c:v>
                </c:pt>
                <c:pt idx="59">
                  <c:v>1.6324442480757158</c:v>
                </c:pt>
                <c:pt idx="60">
                  <c:v>1.4795279814053282</c:v>
                </c:pt>
                <c:pt idx="61">
                  <c:v>1.3856593745551178</c:v>
                </c:pt>
                <c:pt idx="62">
                  <c:v>1.5842509869104509</c:v>
                </c:pt>
                <c:pt idx="63">
                  <c:v>1.5159358130592324</c:v>
                </c:pt>
                <c:pt idx="64">
                  <c:v>1.3748758429609493</c:v>
                </c:pt>
                <c:pt idx="65">
                  <c:v>1.3569937369519833</c:v>
                </c:pt>
                <c:pt idx="66">
                  <c:v>1.2662610674185091</c:v>
                </c:pt>
                <c:pt idx="67">
                  <c:v>1.5256702247345169</c:v>
                </c:pt>
                <c:pt idx="68">
                  <c:v>1.2809177265410687</c:v>
                </c:pt>
                <c:pt idx="69">
                  <c:v>1.1767646262470581</c:v>
                </c:pt>
                <c:pt idx="70">
                  <c:v>1.4196232073327046</c:v>
                </c:pt>
                <c:pt idx="71">
                  <c:v>1.2940772026323544</c:v>
                </c:pt>
                <c:pt idx="72">
                  <c:v>1.3916316241897637</c:v>
                </c:pt>
                <c:pt idx="73">
                  <c:v>1.285622944830106</c:v>
                </c:pt>
                <c:pt idx="74">
                  <c:v>1.1879391471314329</c:v>
                </c:pt>
                <c:pt idx="75">
                  <c:v>1.2879401963433306</c:v>
                </c:pt>
                <c:pt idx="76">
                  <c:v>1.0975905562742563</c:v>
                </c:pt>
                <c:pt idx="77">
                  <c:v>1.7448063767024415</c:v>
                </c:pt>
                <c:pt idx="78">
                  <c:v>1.6060246728660883</c:v>
                </c:pt>
                <c:pt idx="79">
                  <c:v>1.6247522058537724</c:v>
                </c:pt>
                <c:pt idx="80">
                  <c:v>1.7972320003498261</c:v>
                </c:pt>
                <c:pt idx="81">
                  <c:v>1.6577031184294977</c:v>
                </c:pt>
                <c:pt idx="82">
                  <c:v>1.7553354196569331</c:v>
                </c:pt>
                <c:pt idx="83">
                  <c:v>1.774212857655932</c:v>
                </c:pt>
                <c:pt idx="84">
                  <c:v>0.9296287453742389</c:v>
                </c:pt>
                <c:pt idx="85">
                  <c:v>1.4627989271305251</c:v>
                </c:pt>
                <c:pt idx="86">
                  <c:v>1.2362343060376226</c:v>
                </c:pt>
                <c:pt idx="87">
                  <c:v>1.1403181094312174</c:v>
                </c:pt>
                <c:pt idx="88">
                  <c:v>1.2667401446408888</c:v>
                </c:pt>
                <c:pt idx="89">
                  <c:v>1.5411215108643248</c:v>
                </c:pt>
                <c:pt idx="90">
                  <c:v>1.3676936366253958</c:v>
                </c:pt>
                <c:pt idx="91">
                  <c:v>1.830242829400746</c:v>
                </c:pt>
                <c:pt idx="92">
                  <c:v>1.7062987838083137</c:v>
                </c:pt>
                <c:pt idx="93">
                  <c:v>1.883643797325768</c:v>
                </c:pt>
                <c:pt idx="94">
                  <c:v>1.7100627309444016</c:v>
                </c:pt>
                <c:pt idx="95">
                  <c:v>1.8166073680841852</c:v>
                </c:pt>
                <c:pt idx="96">
                  <c:v>1.7975084041922089</c:v>
                </c:pt>
                <c:pt idx="97">
                  <c:v>1.5701008503065057</c:v>
                </c:pt>
                <c:pt idx="98">
                  <c:v>1.3761269070735092</c:v>
                </c:pt>
                <c:pt idx="99">
                  <c:v>1.4179861509284171</c:v>
                </c:pt>
                <c:pt idx="100">
                  <c:v>1.9113428943937421</c:v>
                </c:pt>
                <c:pt idx="101">
                  <c:v>1.5914040946711197</c:v>
                </c:pt>
                <c:pt idx="102">
                  <c:v>1.1399569526745144</c:v>
                </c:pt>
                <c:pt idx="103">
                  <c:v>1.4505990436791489</c:v>
                </c:pt>
                <c:pt idx="104">
                  <c:v>0.94650643411677127</c:v>
                </c:pt>
                <c:pt idx="105">
                  <c:v>1.096718869883107</c:v>
                </c:pt>
                <c:pt idx="106">
                  <c:v>1.0754051791919244</c:v>
                </c:pt>
                <c:pt idx="107">
                  <c:v>1.0803004043905258</c:v>
                </c:pt>
                <c:pt idx="108">
                  <c:v>0.93174490409311983</c:v>
                </c:pt>
                <c:pt idx="109">
                  <c:v>1.3991203958218801</c:v>
                </c:pt>
                <c:pt idx="110">
                  <c:v>1.4748142926855718</c:v>
                </c:pt>
                <c:pt idx="111">
                  <c:v>1.5623558357681069</c:v>
                </c:pt>
                <c:pt idx="112">
                  <c:v>1.7263749729690765</c:v>
                </c:pt>
                <c:pt idx="113">
                  <c:v>1.2473460721868366</c:v>
                </c:pt>
                <c:pt idx="114">
                  <c:v>1.4156835530881333</c:v>
                </c:pt>
                <c:pt idx="115">
                  <c:v>1.439837691023921</c:v>
                </c:pt>
                <c:pt idx="116">
                  <c:v>1.2440354464894343</c:v>
                </c:pt>
                <c:pt idx="117">
                  <c:v>1.2661134253944304</c:v>
                </c:pt>
                <c:pt idx="118">
                  <c:v>1.1360896010289114</c:v>
                </c:pt>
                <c:pt idx="119">
                  <c:v>1.3279397405495885</c:v>
                </c:pt>
                <c:pt idx="120">
                  <c:v>1.7816694276344704</c:v>
                </c:pt>
                <c:pt idx="121">
                  <c:v>1.6018760114938733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32-4C35-B425-242889F30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783040"/>
        <c:axId val="591779104"/>
      </c:lineChart>
      <c:lineChart>
        <c:grouping val="standard"/>
        <c:varyColors val="0"/>
        <c:ser>
          <c:idx val="2"/>
          <c:order val="2"/>
          <c:tx>
            <c:strRef>
              <c:f>Funnel_Weekly!$H$2</c:f>
              <c:strCache>
                <c:ptCount val="1"/>
                <c:pt idx="0">
                  <c:v>Conversion over Consideration 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Funnel_Weekly!$A$3:$A$129</c15:sqref>
                  </c15:fullRef>
                </c:ext>
              </c:extLst>
              <c:f>Funnel_Weekly!$A$8:$A$129</c:f>
              <c:numCache>
                <c:formatCode>m/d/yyyy</c:formatCode>
                <c:ptCount val="122"/>
                <c:pt idx="0">
                  <c:v>43954</c:v>
                </c:pt>
                <c:pt idx="1">
                  <c:v>43961</c:v>
                </c:pt>
                <c:pt idx="2">
                  <c:v>43968</c:v>
                </c:pt>
                <c:pt idx="3">
                  <c:v>43975</c:v>
                </c:pt>
                <c:pt idx="4">
                  <c:v>43982</c:v>
                </c:pt>
                <c:pt idx="5">
                  <c:v>43989</c:v>
                </c:pt>
                <c:pt idx="6">
                  <c:v>43996</c:v>
                </c:pt>
                <c:pt idx="7">
                  <c:v>44003</c:v>
                </c:pt>
                <c:pt idx="8">
                  <c:v>44010</c:v>
                </c:pt>
                <c:pt idx="9">
                  <c:v>44017</c:v>
                </c:pt>
                <c:pt idx="10">
                  <c:v>44024</c:v>
                </c:pt>
                <c:pt idx="11">
                  <c:v>44031</c:v>
                </c:pt>
                <c:pt idx="12">
                  <c:v>44038</c:v>
                </c:pt>
                <c:pt idx="13">
                  <c:v>44045</c:v>
                </c:pt>
                <c:pt idx="14">
                  <c:v>44052</c:v>
                </c:pt>
                <c:pt idx="15">
                  <c:v>44059</c:v>
                </c:pt>
                <c:pt idx="16">
                  <c:v>44066</c:v>
                </c:pt>
                <c:pt idx="17">
                  <c:v>44073</c:v>
                </c:pt>
                <c:pt idx="18">
                  <c:v>44080</c:v>
                </c:pt>
                <c:pt idx="19">
                  <c:v>44087</c:v>
                </c:pt>
                <c:pt idx="20">
                  <c:v>44094</c:v>
                </c:pt>
                <c:pt idx="21">
                  <c:v>44101</c:v>
                </c:pt>
                <c:pt idx="22">
                  <c:v>44108</c:v>
                </c:pt>
                <c:pt idx="23">
                  <c:v>44115</c:v>
                </c:pt>
                <c:pt idx="24">
                  <c:v>44122</c:v>
                </c:pt>
                <c:pt idx="25">
                  <c:v>44129</c:v>
                </c:pt>
                <c:pt idx="26">
                  <c:v>44136</c:v>
                </c:pt>
                <c:pt idx="27">
                  <c:v>44143</c:v>
                </c:pt>
                <c:pt idx="28">
                  <c:v>44150</c:v>
                </c:pt>
                <c:pt idx="29">
                  <c:v>44157</c:v>
                </c:pt>
                <c:pt idx="30">
                  <c:v>44164</c:v>
                </c:pt>
                <c:pt idx="31">
                  <c:v>44171</c:v>
                </c:pt>
                <c:pt idx="32">
                  <c:v>44178</c:v>
                </c:pt>
                <c:pt idx="33">
                  <c:v>44185</c:v>
                </c:pt>
                <c:pt idx="34">
                  <c:v>44192</c:v>
                </c:pt>
                <c:pt idx="35">
                  <c:v>44199</c:v>
                </c:pt>
                <c:pt idx="36">
                  <c:v>44206</c:v>
                </c:pt>
                <c:pt idx="37">
                  <c:v>44213</c:v>
                </c:pt>
                <c:pt idx="38">
                  <c:v>44220</c:v>
                </c:pt>
                <c:pt idx="39">
                  <c:v>44227</c:v>
                </c:pt>
                <c:pt idx="40">
                  <c:v>44234</c:v>
                </c:pt>
                <c:pt idx="41">
                  <c:v>44241</c:v>
                </c:pt>
                <c:pt idx="42">
                  <c:v>44248</c:v>
                </c:pt>
                <c:pt idx="43">
                  <c:v>44255</c:v>
                </c:pt>
                <c:pt idx="44">
                  <c:v>44262</c:v>
                </c:pt>
                <c:pt idx="45">
                  <c:v>44269</c:v>
                </c:pt>
                <c:pt idx="46">
                  <c:v>44276</c:v>
                </c:pt>
                <c:pt idx="47">
                  <c:v>44283</c:v>
                </c:pt>
                <c:pt idx="48">
                  <c:v>44290</c:v>
                </c:pt>
                <c:pt idx="49">
                  <c:v>44297</c:v>
                </c:pt>
                <c:pt idx="50">
                  <c:v>44304</c:v>
                </c:pt>
                <c:pt idx="51">
                  <c:v>44311</c:v>
                </c:pt>
                <c:pt idx="52">
                  <c:v>44318</c:v>
                </c:pt>
                <c:pt idx="53">
                  <c:v>44325</c:v>
                </c:pt>
                <c:pt idx="54">
                  <c:v>44332</c:v>
                </c:pt>
                <c:pt idx="55">
                  <c:v>44339</c:v>
                </c:pt>
                <c:pt idx="56">
                  <c:v>44346</c:v>
                </c:pt>
                <c:pt idx="57">
                  <c:v>44353</c:v>
                </c:pt>
                <c:pt idx="58">
                  <c:v>44360</c:v>
                </c:pt>
                <c:pt idx="59">
                  <c:v>44367</c:v>
                </c:pt>
                <c:pt idx="60">
                  <c:v>44374</c:v>
                </c:pt>
                <c:pt idx="61">
                  <c:v>44381</c:v>
                </c:pt>
                <c:pt idx="62">
                  <c:v>44388</c:v>
                </c:pt>
                <c:pt idx="63">
                  <c:v>44395</c:v>
                </c:pt>
                <c:pt idx="64">
                  <c:v>44402</c:v>
                </c:pt>
                <c:pt idx="65">
                  <c:v>44409</c:v>
                </c:pt>
                <c:pt idx="66">
                  <c:v>44416</c:v>
                </c:pt>
                <c:pt idx="67">
                  <c:v>44423</c:v>
                </c:pt>
                <c:pt idx="68">
                  <c:v>44430</c:v>
                </c:pt>
                <c:pt idx="69">
                  <c:v>44437</c:v>
                </c:pt>
                <c:pt idx="70">
                  <c:v>44444</c:v>
                </c:pt>
                <c:pt idx="71">
                  <c:v>44451</c:v>
                </c:pt>
                <c:pt idx="72">
                  <c:v>44458</c:v>
                </c:pt>
                <c:pt idx="73">
                  <c:v>44465</c:v>
                </c:pt>
                <c:pt idx="74">
                  <c:v>44472</c:v>
                </c:pt>
                <c:pt idx="75">
                  <c:v>44479</c:v>
                </c:pt>
                <c:pt idx="76">
                  <c:v>44486</c:v>
                </c:pt>
                <c:pt idx="77">
                  <c:v>44493</c:v>
                </c:pt>
                <c:pt idx="78">
                  <c:v>44500</c:v>
                </c:pt>
                <c:pt idx="79">
                  <c:v>44507</c:v>
                </c:pt>
                <c:pt idx="80">
                  <c:v>44514</c:v>
                </c:pt>
                <c:pt idx="81">
                  <c:v>44521</c:v>
                </c:pt>
                <c:pt idx="82">
                  <c:v>44528</c:v>
                </c:pt>
                <c:pt idx="83">
                  <c:v>44535</c:v>
                </c:pt>
                <c:pt idx="84">
                  <c:v>44542</c:v>
                </c:pt>
                <c:pt idx="85">
                  <c:v>44549</c:v>
                </c:pt>
                <c:pt idx="86">
                  <c:v>44556</c:v>
                </c:pt>
                <c:pt idx="87">
                  <c:v>44563</c:v>
                </c:pt>
                <c:pt idx="88">
                  <c:v>44570</c:v>
                </c:pt>
                <c:pt idx="89">
                  <c:v>44577</c:v>
                </c:pt>
                <c:pt idx="90">
                  <c:v>44584</c:v>
                </c:pt>
                <c:pt idx="91">
                  <c:v>44591</c:v>
                </c:pt>
                <c:pt idx="92">
                  <c:v>44598</c:v>
                </c:pt>
                <c:pt idx="93">
                  <c:v>44605</c:v>
                </c:pt>
                <c:pt idx="94">
                  <c:v>44612</c:v>
                </c:pt>
                <c:pt idx="95">
                  <c:v>44619</c:v>
                </c:pt>
                <c:pt idx="96">
                  <c:v>44626</c:v>
                </c:pt>
                <c:pt idx="97">
                  <c:v>44633</c:v>
                </c:pt>
                <c:pt idx="98">
                  <c:v>44640</c:v>
                </c:pt>
                <c:pt idx="99">
                  <c:v>44647</c:v>
                </c:pt>
                <c:pt idx="100">
                  <c:v>44654</c:v>
                </c:pt>
                <c:pt idx="101">
                  <c:v>44661</c:v>
                </c:pt>
                <c:pt idx="102">
                  <c:v>44668</c:v>
                </c:pt>
                <c:pt idx="103">
                  <c:v>44675</c:v>
                </c:pt>
                <c:pt idx="104">
                  <c:v>44682</c:v>
                </c:pt>
                <c:pt idx="105">
                  <c:v>44689</c:v>
                </c:pt>
                <c:pt idx="106">
                  <c:v>44696</c:v>
                </c:pt>
                <c:pt idx="107">
                  <c:v>44703</c:v>
                </c:pt>
                <c:pt idx="108">
                  <c:v>44710</c:v>
                </c:pt>
                <c:pt idx="109">
                  <c:v>44717</c:v>
                </c:pt>
                <c:pt idx="110">
                  <c:v>44724</c:v>
                </c:pt>
                <c:pt idx="111">
                  <c:v>44731</c:v>
                </c:pt>
                <c:pt idx="112">
                  <c:v>44738</c:v>
                </c:pt>
                <c:pt idx="113">
                  <c:v>44745</c:v>
                </c:pt>
                <c:pt idx="114">
                  <c:v>44752</c:v>
                </c:pt>
                <c:pt idx="115">
                  <c:v>44759</c:v>
                </c:pt>
                <c:pt idx="116">
                  <c:v>44766</c:v>
                </c:pt>
                <c:pt idx="117">
                  <c:v>44773</c:v>
                </c:pt>
                <c:pt idx="118">
                  <c:v>44780</c:v>
                </c:pt>
                <c:pt idx="119">
                  <c:v>44787</c:v>
                </c:pt>
                <c:pt idx="120">
                  <c:v>44794</c:v>
                </c:pt>
                <c:pt idx="121">
                  <c:v>44801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Funnel_Weekly!$H$3:$H$129</c15:sqref>
                  </c15:fullRef>
                </c:ext>
              </c:extLst>
              <c:f>Funnel_Weekly!$H$8:$H$129</c:f>
              <c:numCache>
                <c:formatCode>0.00</c:formatCode>
                <c:ptCount val="122"/>
                <c:pt idx="0">
                  <c:v>47.115987460815049</c:v>
                </c:pt>
                <c:pt idx="1">
                  <c:v>45.952300974135035</c:v>
                </c:pt>
                <c:pt idx="2">
                  <c:v>45.18375241779497</c:v>
                </c:pt>
                <c:pt idx="3">
                  <c:v>45.18375241779497</c:v>
                </c:pt>
                <c:pt idx="4">
                  <c:v>45.145810262089334</c:v>
                </c:pt>
                <c:pt idx="5">
                  <c:v>46.588164251207729</c:v>
                </c:pt>
                <c:pt idx="6">
                  <c:v>40.222392638036808</c:v>
                </c:pt>
                <c:pt idx="7">
                  <c:v>40.222392638036808</c:v>
                </c:pt>
                <c:pt idx="8">
                  <c:v>41.05263157894737</c:v>
                </c:pt>
                <c:pt idx="9">
                  <c:v>41.05263157894737</c:v>
                </c:pt>
                <c:pt idx="10">
                  <c:v>41.840490797546018</c:v>
                </c:pt>
                <c:pt idx="11">
                  <c:v>39.797713280562888</c:v>
                </c:pt>
                <c:pt idx="12">
                  <c:v>32.292967124427797</c:v>
                </c:pt>
                <c:pt idx="13">
                  <c:v>40.870724122612174</c:v>
                </c:pt>
                <c:pt idx="14">
                  <c:v>41.569416498993967</c:v>
                </c:pt>
                <c:pt idx="15">
                  <c:v>41.569416498993967</c:v>
                </c:pt>
                <c:pt idx="16">
                  <c:v>39.006303299962923</c:v>
                </c:pt>
                <c:pt idx="17">
                  <c:v>40.704500978473575</c:v>
                </c:pt>
                <c:pt idx="18">
                  <c:v>43.773328808958262</c:v>
                </c:pt>
                <c:pt idx="19">
                  <c:v>43.128205128205124</c:v>
                </c:pt>
                <c:pt idx="20">
                  <c:v>44.019370460048421</c:v>
                </c:pt>
                <c:pt idx="21">
                  <c:v>41.891148982957674</c:v>
                </c:pt>
                <c:pt idx="22">
                  <c:v>44.413563090605891</c:v>
                </c:pt>
                <c:pt idx="23">
                  <c:v>44.145658263305322</c:v>
                </c:pt>
                <c:pt idx="24">
                  <c:v>43.450134770889484</c:v>
                </c:pt>
                <c:pt idx="25">
                  <c:v>39.823925427239772</c:v>
                </c:pt>
                <c:pt idx="26">
                  <c:v>41.830761043108033</c:v>
                </c:pt>
                <c:pt idx="27">
                  <c:v>38.672252658717369</c:v>
                </c:pt>
                <c:pt idx="28">
                  <c:v>38.672252658717369</c:v>
                </c:pt>
                <c:pt idx="29">
                  <c:v>35.624211853720048</c:v>
                </c:pt>
                <c:pt idx="30">
                  <c:v>40.835850956696881</c:v>
                </c:pt>
                <c:pt idx="31">
                  <c:v>39.829378832311384</c:v>
                </c:pt>
                <c:pt idx="32">
                  <c:v>42.75949367088608</c:v>
                </c:pt>
                <c:pt idx="33">
                  <c:v>41.352063213345041</c:v>
                </c:pt>
                <c:pt idx="34">
                  <c:v>43.121797398502167</c:v>
                </c:pt>
                <c:pt idx="35">
                  <c:v>42.900821708389067</c:v>
                </c:pt>
                <c:pt idx="36">
                  <c:v>41.303177167474416</c:v>
                </c:pt>
                <c:pt idx="37">
                  <c:v>41.303177167474416</c:v>
                </c:pt>
                <c:pt idx="38">
                  <c:v>42.297805022740754</c:v>
                </c:pt>
                <c:pt idx="39">
                  <c:v>44.215450752307497</c:v>
                </c:pt>
                <c:pt idx="40">
                  <c:v>44.215450752307497</c:v>
                </c:pt>
                <c:pt idx="41">
                  <c:v>46.600028157116711</c:v>
                </c:pt>
                <c:pt idx="42">
                  <c:v>47.37234439060753</c:v>
                </c:pt>
                <c:pt idx="43">
                  <c:v>46.431765337148988</c:v>
                </c:pt>
                <c:pt idx="44">
                  <c:v>45.589363334185627</c:v>
                </c:pt>
                <c:pt idx="45">
                  <c:v>45.281916447560619</c:v>
                </c:pt>
                <c:pt idx="46">
                  <c:v>41.89095928226363</c:v>
                </c:pt>
                <c:pt idx="47">
                  <c:v>43.652919121585434</c:v>
                </c:pt>
                <c:pt idx="48">
                  <c:v>43.652919121585434</c:v>
                </c:pt>
                <c:pt idx="49">
                  <c:v>40.290556900726394</c:v>
                </c:pt>
                <c:pt idx="50">
                  <c:v>43.710292249047015</c:v>
                </c:pt>
                <c:pt idx="51">
                  <c:v>41.53846153846154</c:v>
                </c:pt>
                <c:pt idx="52">
                  <c:v>42.202247191011239</c:v>
                </c:pt>
                <c:pt idx="53">
                  <c:v>42.603036876355752</c:v>
                </c:pt>
                <c:pt idx="54">
                  <c:v>43.05825242718447</c:v>
                </c:pt>
                <c:pt idx="55">
                  <c:v>43.087173792337587</c:v>
                </c:pt>
                <c:pt idx="56">
                  <c:v>47.450110864745007</c:v>
                </c:pt>
                <c:pt idx="57">
                  <c:v>46.37817497648166</c:v>
                </c:pt>
                <c:pt idx="58">
                  <c:v>47.987927565392354</c:v>
                </c:pt>
                <c:pt idx="59">
                  <c:v>39.750849377123444</c:v>
                </c:pt>
                <c:pt idx="60">
                  <c:v>44.103930712858094</c:v>
                </c:pt>
                <c:pt idx="61">
                  <c:v>45.096525096525099</c:v>
                </c:pt>
                <c:pt idx="62">
                  <c:v>43.416370106761562</c:v>
                </c:pt>
                <c:pt idx="63">
                  <c:v>43.462897526501763</c:v>
                </c:pt>
                <c:pt idx="64">
                  <c:v>41.712926249008724</c:v>
                </c:pt>
                <c:pt idx="65">
                  <c:v>42.742582197273457</c:v>
                </c:pt>
                <c:pt idx="66">
                  <c:v>43.835616438356162</c:v>
                </c:pt>
                <c:pt idx="67">
                  <c:v>41.710427606901725</c:v>
                </c:pt>
                <c:pt idx="68">
                  <c:v>43.22876817138485</c:v>
                </c:pt>
                <c:pt idx="69">
                  <c:v>43.22876817138485</c:v>
                </c:pt>
                <c:pt idx="70">
                  <c:v>42.940746159473299</c:v>
                </c:pt>
                <c:pt idx="71">
                  <c:v>45.548833189282625</c:v>
                </c:pt>
                <c:pt idx="72">
                  <c:v>43.500363108206244</c:v>
                </c:pt>
                <c:pt idx="73">
                  <c:v>40.767559739319331</c:v>
                </c:pt>
                <c:pt idx="74">
                  <c:v>40.767559739319331</c:v>
                </c:pt>
                <c:pt idx="75">
                  <c:v>41.449275362318836</c:v>
                </c:pt>
                <c:pt idx="76">
                  <c:v>43.719806763285021</c:v>
                </c:pt>
                <c:pt idx="77">
                  <c:v>43.80252100840336</c:v>
                </c:pt>
                <c:pt idx="78">
                  <c:v>42.98440979955457</c:v>
                </c:pt>
                <c:pt idx="79">
                  <c:v>42.243557352198081</c:v>
                </c:pt>
                <c:pt idx="80">
                  <c:v>43.469063987308303</c:v>
                </c:pt>
                <c:pt idx="81">
                  <c:v>42.268623024830696</c:v>
                </c:pt>
                <c:pt idx="82">
                  <c:v>41.816143497757849</c:v>
                </c:pt>
                <c:pt idx="83">
                  <c:v>44.080904223676384</c:v>
                </c:pt>
                <c:pt idx="84">
                  <c:v>42.094594594594589</c:v>
                </c:pt>
                <c:pt idx="85">
                  <c:v>37.820512820512818</c:v>
                </c:pt>
                <c:pt idx="86">
                  <c:v>43.645990922844177</c:v>
                </c:pt>
                <c:pt idx="87">
                  <c:v>46.288906624102154</c:v>
                </c:pt>
                <c:pt idx="88">
                  <c:v>46.225895316804404</c:v>
                </c:pt>
                <c:pt idx="89">
                  <c:v>46.073558648111337</c:v>
                </c:pt>
                <c:pt idx="90">
                  <c:v>42.495029821073558</c:v>
                </c:pt>
                <c:pt idx="91">
                  <c:v>46.587926509186353</c:v>
                </c:pt>
                <c:pt idx="92">
                  <c:v>48.403707518022657</c:v>
                </c:pt>
                <c:pt idx="93">
                  <c:v>47.501315097317203</c:v>
                </c:pt>
                <c:pt idx="94">
                  <c:v>46.878680800942284</c:v>
                </c:pt>
                <c:pt idx="95">
                  <c:v>51.302498670919725</c:v>
                </c:pt>
                <c:pt idx="96">
                  <c:v>45.134061569016879</c:v>
                </c:pt>
                <c:pt idx="97">
                  <c:v>45.949074074074076</c:v>
                </c:pt>
                <c:pt idx="98">
                  <c:v>42.674731182795696</c:v>
                </c:pt>
                <c:pt idx="99">
                  <c:v>40.670461733080323</c:v>
                </c:pt>
                <c:pt idx="100">
                  <c:v>46.747448979591837</c:v>
                </c:pt>
                <c:pt idx="101">
                  <c:v>42.218798151001543</c:v>
                </c:pt>
                <c:pt idx="102">
                  <c:v>38.75338753387534</c:v>
                </c:pt>
                <c:pt idx="103">
                  <c:v>38.571428571428577</c:v>
                </c:pt>
                <c:pt idx="104">
                  <c:v>38.27956989247312</c:v>
                </c:pt>
                <c:pt idx="105">
                  <c:v>36.874051593323216</c:v>
                </c:pt>
                <c:pt idx="106">
                  <c:v>24.694234129295285</c:v>
                </c:pt>
                <c:pt idx="107">
                  <c:v>21.568627450980394</c:v>
                </c:pt>
                <c:pt idx="108">
                  <c:v>24.357142857142858</c:v>
                </c:pt>
                <c:pt idx="109">
                  <c:v>38.914373088685018</c:v>
                </c:pt>
                <c:pt idx="110">
                  <c:v>41.942945258288354</c:v>
                </c:pt>
                <c:pt idx="111">
                  <c:v>41.845140032948933</c:v>
                </c:pt>
                <c:pt idx="112">
                  <c:v>43.153153153153148</c:v>
                </c:pt>
                <c:pt idx="113">
                  <c:v>40.736728060671723</c:v>
                </c:pt>
                <c:pt idx="114">
                  <c:v>38.345864661654133</c:v>
                </c:pt>
                <c:pt idx="115">
                  <c:v>42.759961127308067</c:v>
                </c:pt>
                <c:pt idx="116">
                  <c:v>40.331491712707184</c:v>
                </c:pt>
                <c:pt idx="117">
                  <c:v>39.18781725888325</c:v>
                </c:pt>
                <c:pt idx="118">
                  <c:v>44.35146443514644</c:v>
                </c:pt>
                <c:pt idx="119">
                  <c:v>39.33884297520661</c:v>
                </c:pt>
                <c:pt idx="120">
                  <c:v>41.82539682539683</c:v>
                </c:pt>
                <c:pt idx="121">
                  <c:v>39.049919484702095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32-4C35-B425-242889F30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423824"/>
        <c:axId val="624428744"/>
      </c:lineChart>
      <c:dateAx>
        <c:axId val="591783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79104"/>
        <c:crosses val="autoZero"/>
        <c:auto val="1"/>
        <c:lblOffset val="100"/>
        <c:baseTimeUnit val="days"/>
      </c:dateAx>
      <c:valAx>
        <c:axId val="59177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783040"/>
        <c:crosses val="autoZero"/>
        <c:crossBetween val="between"/>
      </c:valAx>
      <c:valAx>
        <c:axId val="6244287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23824"/>
        <c:crosses val="max"/>
        <c:crossBetween val="between"/>
      </c:valAx>
      <c:dateAx>
        <c:axId val="6244238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244287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Wealth</a:t>
            </a:r>
            <a:r>
              <a:rPr lang="en-US" baseline="0"/>
              <a:t> - Funnel Ratio - Weekly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Funnel_Weekly!$F$2</c:f>
              <c:strCache>
                <c:ptCount val="1"/>
                <c:pt idx="0">
                  <c:v>Consideration over Awareness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Funnel_Weekly!$A$130:$A$256</c15:sqref>
                  </c15:fullRef>
                </c:ext>
              </c:extLst>
              <c:f>Funnel_Weekly!$A$135:$A$256</c:f>
              <c:numCache>
                <c:formatCode>m/d/yyyy</c:formatCode>
                <c:ptCount val="122"/>
                <c:pt idx="0">
                  <c:v>43954</c:v>
                </c:pt>
                <c:pt idx="1">
                  <c:v>43961</c:v>
                </c:pt>
                <c:pt idx="2">
                  <c:v>43968</c:v>
                </c:pt>
                <c:pt idx="3">
                  <c:v>43975</c:v>
                </c:pt>
                <c:pt idx="4">
                  <c:v>43982</c:v>
                </c:pt>
                <c:pt idx="5">
                  <c:v>43989</c:v>
                </c:pt>
                <c:pt idx="6">
                  <c:v>43996</c:v>
                </c:pt>
                <c:pt idx="7">
                  <c:v>44003</c:v>
                </c:pt>
                <c:pt idx="8">
                  <c:v>44010</c:v>
                </c:pt>
                <c:pt idx="9">
                  <c:v>44017</c:v>
                </c:pt>
                <c:pt idx="10">
                  <c:v>44024</c:v>
                </c:pt>
                <c:pt idx="11">
                  <c:v>44031</c:v>
                </c:pt>
                <c:pt idx="12">
                  <c:v>44038</c:v>
                </c:pt>
                <c:pt idx="13">
                  <c:v>44045</c:v>
                </c:pt>
                <c:pt idx="14">
                  <c:v>44052</c:v>
                </c:pt>
                <c:pt idx="15">
                  <c:v>44059</c:v>
                </c:pt>
                <c:pt idx="16">
                  <c:v>44066</c:v>
                </c:pt>
                <c:pt idx="17">
                  <c:v>44073</c:v>
                </c:pt>
                <c:pt idx="18">
                  <c:v>44080</c:v>
                </c:pt>
                <c:pt idx="19">
                  <c:v>44087</c:v>
                </c:pt>
                <c:pt idx="20">
                  <c:v>44094</c:v>
                </c:pt>
                <c:pt idx="21">
                  <c:v>44101</c:v>
                </c:pt>
                <c:pt idx="22">
                  <c:v>44108</c:v>
                </c:pt>
                <c:pt idx="23">
                  <c:v>44115</c:v>
                </c:pt>
                <c:pt idx="24">
                  <c:v>44122</c:v>
                </c:pt>
                <c:pt idx="25">
                  <c:v>44129</c:v>
                </c:pt>
                <c:pt idx="26">
                  <c:v>44136</c:v>
                </c:pt>
                <c:pt idx="27">
                  <c:v>44143</c:v>
                </c:pt>
                <c:pt idx="28">
                  <c:v>44150</c:v>
                </c:pt>
                <c:pt idx="29">
                  <c:v>44157</c:v>
                </c:pt>
                <c:pt idx="30">
                  <c:v>44164</c:v>
                </c:pt>
                <c:pt idx="31">
                  <c:v>44171</c:v>
                </c:pt>
                <c:pt idx="32">
                  <c:v>44178</c:v>
                </c:pt>
                <c:pt idx="33">
                  <c:v>44185</c:v>
                </c:pt>
                <c:pt idx="34">
                  <c:v>44192</c:v>
                </c:pt>
                <c:pt idx="35">
                  <c:v>44199</c:v>
                </c:pt>
                <c:pt idx="36">
                  <c:v>44206</c:v>
                </c:pt>
                <c:pt idx="37">
                  <c:v>44213</c:v>
                </c:pt>
                <c:pt idx="38">
                  <c:v>44220</c:v>
                </c:pt>
                <c:pt idx="39">
                  <c:v>44227</c:v>
                </c:pt>
                <c:pt idx="40">
                  <c:v>44234</c:v>
                </c:pt>
                <c:pt idx="41">
                  <c:v>44241</c:v>
                </c:pt>
                <c:pt idx="42">
                  <c:v>44248</c:v>
                </c:pt>
                <c:pt idx="43">
                  <c:v>44255</c:v>
                </c:pt>
                <c:pt idx="44">
                  <c:v>44262</c:v>
                </c:pt>
                <c:pt idx="45">
                  <c:v>44269</c:v>
                </c:pt>
                <c:pt idx="46">
                  <c:v>44276</c:v>
                </c:pt>
                <c:pt idx="47">
                  <c:v>44283</c:v>
                </c:pt>
                <c:pt idx="48">
                  <c:v>44290</c:v>
                </c:pt>
                <c:pt idx="49">
                  <c:v>44297</c:v>
                </c:pt>
                <c:pt idx="50">
                  <c:v>44304</c:v>
                </c:pt>
                <c:pt idx="51">
                  <c:v>44311</c:v>
                </c:pt>
                <c:pt idx="52">
                  <c:v>44318</c:v>
                </c:pt>
                <c:pt idx="53">
                  <c:v>44325</c:v>
                </c:pt>
                <c:pt idx="54">
                  <c:v>44332</c:v>
                </c:pt>
                <c:pt idx="55">
                  <c:v>44339</c:v>
                </c:pt>
                <c:pt idx="56">
                  <c:v>44346</c:v>
                </c:pt>
                <c:pt idx="57">
                  <c:v>44353</c:v>
                </c:pt>
                <c:pt idx="58">
                  <c:v>44360</c:v>
                </c:pt>
                <c:pt idx="59">
                  <c:v>44367</c:v>
                </c:pt>
                <c:pt idx="60">
                  <c:v>44374</c:v>
                </c:pt>
                <c:pt idx="61">
                  <c:v>44381</c:v>
                </c:pt>
                <c:pt idx="62">
                  <c:v>44388</c:v>
                </c:pt>
                <c:pt idx="63">
                  <c:v>44395</c:v>
                </c:pt>
                <c:pt idx="64">
                  <c:v>44402</c:v>
                </c:pt>
                <c:pt idx="65">
                  <c:v>44409</c:v>
                </c:pt>
                <c:pt idx="66">
                  <c:v>44416</c:v>
                </c:pt>
                <c:pt idx="67">
                  <c:v>44423</c:v>
                </c:pt>
                <c:pt idx="68">
                  <c:v>44430</c:v>
                </c:pt>
                <c:pt idx="69">
                  <c:v>44437</c:v>
                </c:pt>
                <c:pt idx="70">
                  <c:v>44444</c:v>
                </c:pt>
                <c:pt idx="71">
                  <c:v>44451</c:v>
                </c:pt>
                <c:pt idx="72">
                  <c:v>44458</c:v>
                </c:pt>
                <c:pt idx="73">
                  <c:v>44465</c:v>
                </c:pt>
                <c:pt idx="74">
                  <c:v>44472</c:v>
                </c:pt>
                <c:pt idx="75">
                  <c:v>44479</c:v>
                </c:pt>
                <c:pt idx="76">
                  <c:v>44486</c:v>
                </c:pt>
                <c:pt idx="77">
                  <c:v>44493</c:v>
                </c:pt>
                <c:pt idx="78">
                  <c:v>44500</c:v>
                </c:pt>
                <c:pt idx="79">
                  <c:v>44507</c:v>
                </c:pt>
                <c:pt idx="80">
                  <c:v>44514</c:v>
                </c:pt>
                <c:pt idx="81">
                  <c:v>44521</c:v>
                </c:pt>
                <c:pt idx="82">
                  <c:v>44528</c:v>
                </c:pt>
                <c:pt idx="83">
                  <c:v>44535</c:v>
                </c:pt>
                <c:pt idx="84">
                  <c:v>44542</c:v>
                </c:pt>
                <c:pt idx="85">
                  <c:v>44549</c:v>
                </c:pt>
                <c:pt idx="86">
                  <c:v>44556</c:v>
                </c:pt>
                <c:pt idx="87">
                  <c:v>44563</c:v>
                </c:pt>
                <c:pt idx="88">
                  <c:v>44570</c:v>
                </c:pt>
                <c:pt idx="89">
                  <c:v>44577</c:v>
                </c:pt>
                <c:pt idx="90">
                  <c:v>44584</c:v>
                </c:pt>
                <c:pt idx="91">
                  <c:v>44591</c:v>
                </c:pt>
                <c:pt idx="92">
                  <c:v>44598</c:v>
                </c:pt>
                <c:pt idx="93">
                  <c:v>44605</c:v>
                </c:pt>
                <c:pt idx="94">
                  <c:v>44612</c:v>
                </c:pt>
                <c:pt idx="95">
                  <c:v>44619</c:v>
                </c:pt>
                <c:pt idx="96">
                  <c:v>44626</c:v>
                </c:pt>
                <c:pt idx="97">
                  <c:v>44633</c:v>
                </c:pt>
                <c:pt idx="98">
                  <c:v>44640</c:v>
                </c:pt>
                <c:pt idx="99">
                  <c:v>44647</c:v>
                </c:pt>
                <c:pt idx="100">
                  <c:v>44654</c:v>
                </c:pt>
                <c:pt idx="101">
                  <c:v>44661</c:v>
                </c:pt>
                <c:pt idx="102">
                  <c:v>44668</c:v>
                </c:pt>
                <c:pt idx="103">
                  <c:v>44675</c:v>
                </c:pt>
                <c:pt idx="104">
                  <c:v>44682</c:v>
                </c:pt>
                <c:pt idx="105">
                  <c:v>44689</c:v>
                </c:pt>
                <c:pt idx="106">
                  <c:v>44696</c:v>
                </c:pt>
                <c:pt idx="107">
                  <c:v>44703</c:v>
                </c:pt>
                <c:pt idx="108">
                  <c:v>44710</c:v>
                </c:pt>
                <c:pt idx="109">
                  <c:v>44717</c:v>
                </c:pt>
                <c:pt idx="110">
                  <c:v>44724</c:v>
                </c:pt>
                <c:pt idx="111">
                  <c:v>44731</c:v>
                </c:pt>
                <c:pt idx="112">
                  <c:v>44738</c:v>
                </c:pt>
                <c:pt idx="113">
                  <c:v>44745</c:v>
                </c:pt>
                <c:pt idx="114">
                  <c:v>44752</c:v>
                </c:pt>
                <c:pt idx="115">
                  <c:v>44759</c:v>
                </c:pt>
                <c:pt idx="116">
                  <c:v>44766</c:v>
                </c:pt>
                <c:pt idx="117">
                  <c:v>44773</c:v>
                </c:pt>
                <c:pt idx="118">
                  <c:v>44780</c:v>
                </c:pt>
                <c:pt idx="119">
                  <c:v>44787</c:v>
                </c:pt>
                <c:pt idx="120">
                  <c:v>44794</c:v>
                </c:pt>
                <c:pt idx="121">
                  <c:v>44801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Funnel_Weekly!$F$130:$F$256</c15:sqref>
                  </c15:fullRef>
                </c:ext>
              </c:extLst>
              <c:f>Funnel_Weekly!$F$135:$F$256</c:f>
              <c:numCache>
                <c:formatCode>0.00</c:formatCode>
                <c:ptCount val="122"/>
                <c:pt idx="0">
                  <c:v>5.8506543494996146</c:v>
                </c:pt>
                <c:pt idx="1">
                  <c:v>5.2705551651440619</c:v>
                </c:pt>
                <c:pt idx="2">
                  <c:v>4.4092978672417926</c:v>
                </c:pt>
                <c:pt idx="3">
                  <c:v>4.7740292807129219</c:v>
                </c:pt>
                <c:pt idx="4">
                  <c:v>4.8785871964679917</c:v>
                </c:pt>
                <c:pt idx="5">
                  <c:v>4.6933085501858738</c:v>
                </c:pt>
                <c:pt idx="6">
                  <c:v>4.8367881820347867</c:v>
                </c:pt>
                <c:pt idx="7">
                  <c:v>4.7167392976159963</c:v>
                </c:pt>
                <c:pt idx="8">
                  <c:v>3.5642682111828918</c:v>
                </c:pt>
                <c:pt idx="9">
                  <c:v>4.0500424088210352</c:v>
                </c:pt>
                <c:pt idx="10">
                  <c:v>4.3038570084666032</c:v>
                </c:pt>
                <c:pt idx="11">
                  <c:v>4.3653618030842232</c:v>
                </c:pt>
                <c:pt idx="12">
                  <c:v>4.700438382854359</c:v>
                </c:pt>
                <c:pt idx="13">
                  <c:v>4.3293293293293296</c:v>
                </c:pt>
                <c:pt idx="14">
                  <c:v>5.0276641808996869</c:v>
                </c:pt>
                <c:pt idx="15">
                  <c:v>4.6168958742632613</c:v>
                </c:pt>
                <c:pt idx="16">
                  <c:v>5.078125</c:v>
                </c:pt>
                <c:pt idx="17">
                  <c:v>4.5552213149978513</c:v>
                </c:pt>
                <c:pt idx="18">
                  <c:v>4.5386158475426281</c:v>
                </c:pt>
                <c:pt idx="19">
                  <c:v>4.6646553724762123</c:v>
                </c:pt>
                <c:pt idx="20">
                  <c:v>3.585999570538974</c:v>
                </c:pt>
                <c:pt idx="21">
                  <c:v>4.2380324989020641</c:v>
                </c:pt>
                <c:pt idx="22">
                  <c:v>4.3324307435950846</c:v>
                </c:pt>
                <c:pt idx="23">
                  <c:v>3.8085434894493049</c:v>
                </c:pt>
                <c:pt idx="24">
                  <c:v>4.8907646474677264</c:v>
                </c:pt>
                <c:pt idx="25">
                  <c:v>5.5469953775038521</c:v>
                </c:pt>
                <c:pt idx="26">
                  <c:v>4.1503523884103366</c:v>
                </c:pt>
                <c:pt idx="27">
                  <c:v>4.0811455847255367</c:v>
                </c:pt>
                <c:pt idx="28">
                  <c:v>4.8467569493941554</c:v>
                </c:pt>
                <c:pt idx="29">
                  <c:v>4.383116883116883</c:v>
                </c:pt>
                <c:pt idx="30">
                  <c:v>4.7608695652173916</c:v>
                </c:pt>
                <c:pt idx="31">
                  <c:v>3.9068514241724404</c:v>
                </c:pt>
                <c:pt idx="32">
                  <c:v>3.8852725793327907</c:v>
                </c:pt>
                <c:pt idx="33">
                  <c:v>3.8948995363214842</c:v>
                </c:pt>
                <c:pt idx="34">
                  <c:v>3.9905409399940881</c:v>
                </c:pt>
                <c:pt idx="35">
                  <c:v>5.015923566878981</c:v>
                </c:pt>
                <c:pt idx="36">
                  <c:v>4.4493658143748744</c:v>
                </c:pt>
                <c:pt idx="37">
                  <c:v>4.2910447761194028</c:v>
                </c:pt>
                <c:pt idx="38">
                  <c:v>4.988532110091743</c:v>
                </c:pt>
                <c:pt idx="39">
                  <c:v>4.8322147651006713</c:v>
                </c:pt>
                <c:pt idx="40">
                  <c:v>4.4506487107899488</c:v>
                </c:pt>
                <c:pt idx="41">
                  <c:v>3.3719989209603449</c:v>
                </c:pt>
                <c:pt idx="42">
                  <c:v>4.667081518357187</c:v>
                </c:pt>
                <c:pt idx="43">
                  <c:v>4.3713314797652147</c:v>
                </c:pt>
                <c:pt idx="44">
                  <c:v>4.9318425486291932</c:v>
                </c:pt>
                <c:pt idx="45">
                  <c:v>5.1042179550303626</c:v>
                </c:pt>
                <c:pt idx="46">
                  <c:v>4.9550343854699346</c:v>
                </c:pt>
                <c:pt idx="47">
                  <c:v>4.7563123899001765</c:v>
                </c:pt>
                <c:pt idx="48">
                  <c:v>4.7320308298978313</c:v>
                </c:pt>
                <c:pt idx="49">
                  <c:v>5.1605717467978467</c:v>
                </c:pt>
                <c:pt idx="50">
                  <c:v>4.9793277008808197</c:v>
                </c:pt>
                <c:pt idx="51">
                  <c:v>4.3775649794801641</c:v>
                </c:pt>
                <c:pt idx="52">
                  <c:v>4.4758767680682032</c:v>
                </c:pt>
                <c:pt idx="53">
                  <c:v>5.2253302253302252</c:v>
                </c:pt>
                <c:pt idx="54">
                  <c:v>5.2374893977947412</c:v>
                </c:pt>
                <c:pt idx="55">
                  <c:v>4.4756179024716101</c:v>
                </c:pt>
                <c:pt idx="56">
                  <c:v>4.0725891538299219</c:v>
                </c:pt>
                <c:pt idx="57">
                  <c:v>4.251269035532995</c:v>
                </c:pt>
                <c:pt idx="58">
                  <c:v>4.5701849836779109</c:v>
                </c:pt>
                <c:pt idx="59">
                  <c:v>4.6551303923958081</c:v>
                </c:pt>
                <c:pt idx="60">
                  <c:v>4.5766590389016013</c:v>
                </c:pt>
                <c:pt idx="61">
                  <c:v>4.3238270469181233</c:v>
                </c:pt>
                <c:pt idx="62">
                  <c:v>4.7873524827432643</c:v>
                </c:pt>
                <c:pt idx="63">
                  <c:v>5.2263182454503028</c:v>
                </c:pt>
                <c:pt idx="64">
                  <c:v>5.2705354639753299</c:v>
                </c:pt>
                <c:pt idx="65">
                  <c:v>4.8209754722300531</c:v>
                </c:pt>
                <c:pt idx="66">
                  <c:v>4.6465968586387438</c:v>
                </c:pt>
                <c:pt idx="67">
                  <c:v>3.9160839160839163</c:v>
                </c:pt>
                <c:pt idx="68">
                  <c:v>3.7856231390897492</c:v>
                </c:pt>
                <c:pt idx="69">
                  <c:v>4.2643923240938166</c:v>
                </c:pt>
                <c:pt idx="70">
                  <c:v>3.8384845463609172</c:v>
                </c:pt>
                <c:pt idx="71">
                  <c:v>4.2651831247102461</c:v>
                </c:pt>
                <c:pt idx="72">
                  <c:v>4.2932462967612359</c:v>
                </c:pt>
                <c:pt idx="73">
                  <c:v>4.4036697247706424</c:v>
                </c:pt>
                <c:pt idx="74">
                  <c:v>4.3669131238447321</c:v>
                </c:pt>
                <c:pt idx="75">
                  <c:v>4.362256993835941</c:v>
                </c:pt>
                <c:pt idx="76">
                  <c:v>3.9341262580054894</c:v>
                </c:pt>
                <c:pt idx="77">
                  <c:v>5.4749999999999996</c:v>
                </c:pt>
                <c:pt idx="78">
                  <c:v>6.47836227001814</c:v>
                </c:pt>
                <c:pt idx="79">
                  <c:v>6.0465116279069768</c:v>
                </c:pt>
                <c:pt idx="80">
                  <c:v>5.9455408443667253</c:v>
                </c:pt>
                <c:pt idx="81">
                  <c:v>6.6308243727598564</c:v>
                </c:pt>
                <c:pt idx="82">
                  <c:v>7.3799725651577495</c:v>
                </c:pt>
                <c:pt idx="83">
                  <c:v>6.2945973496432215</c:v>
                </c:pt>
                <c:pt idx="84">
                  <c:v>5.5830039525691699</c:v>
                </c:pt>
                <c:pt idx="85">
                  <c:v>5.3966540744738261</c:v>
                </c:pt>
                <c:pt idx="86">
                  <c:v>4.842280022136138</c:v>
                </c:pt>
                <c:pt idx="87">
                  <c:v>5.656759348034516</c:v>
                </c:pt>
                <c:pt idx="88">
                  <c:v>5.5244911652874071</c:v>
                </c:pt>
                <c:pt idx="89">
                  <c:v>5.558674901740595</c:v>
                </c:pt>
                <c:pt idx="90">
                  <c:v>5.9884836852207295</c:v>
                </c:pt>
                <c:pt idx="91">
                  <c:v>5.7830955668047244</c:v>
                </c:pt>
                <c:pt idx="92">
                  <c:v>5.2956615717152999</c:v>
                </c:pt>
                <c:pt idx="93">
                  <c:v>5.9395973154362416</c:v>
                </c:pt>
                <c:pt idx="94">
                  <c:v>5.3957477219939252</c:v>
                </c:pt>
                <c:pt idx="95">
                  <c:v>4.5118082481494532</c:v>
                </c:pt>
                <c:pt idx="96">
                  <c:v>4.5725297827610376</c:v>
                </c:pt>
                <c:pt idx="97">
                  <c:v>5.4970375246872942</c:v>
                </c:pt>
                <c:pt idx="98">
                  <c:v>4.8240343347639483</c:v>
                </c:pt>
                <c:pt idx="99">
                  <c:v>5.1151893791487701</c:v>
                </c:pt>
                <c:pt idx="100">
                  <c:v>5.7274620648616485</c:v>
                </c:pt>
                <c:pt idx="101">
                  <c:v>4.8053527980535273</c:v>
                </c:pt>
                <c:pt idx="102">
                  <c:v>5.8175773945564098</c:v>
                </c:pt>
                <c:pt idx="103">
                  <c:v>5.1398963730569953</c:v>
                </c:pt>
                <c:pt idx="104">
                  <c:v>7.4185765983112191</c:v>
                </c:pt>
                <c:pt idx="105">
                  <c:v>10.709452928668084</c:v>
                </c:pt>
                <c:pt idx="106">
                  <c:v>7.4749316317228809</c:v>
                </c:pt>
                <c:pt idx="107">
                  <c:v>6.520164211543106</c:v>
                </c:pt>
                <c:pt idx="108">
                  <c:v>7.4409158050221569</c:v>
                </c:pt>
                <c:pt idx="109">
                  <c:v>6.7658730158730158</c:v>
                </c:pt>
                <c:pt idx="110">
                  <c:v>8.8888888888888893</c:v>
                </c:pt>
                <c:pt idx="111">
                  <c:v>8.6060606060606055</c:v>
                </c:pt>
                <c:pt idx="112">
                  <c:v>8.2185977547129845</c:v>
                </c:pt>
                <c:pt idx="113">
                  <c:v>10.517864311521476</c:v>
                </c:pt>
                <c:pt idx="114">
                  <c:v>12.429157709595467</c:v>
                </c:pt>
                <c:pt idx="115">
                  <c:v>10.738817222315296</c:v>
                </c:pt>
                <c:pt idx="116">
                  <c:v>6.0004354452427604</c:v>
                </c:pt>
                <c:pt idx="117">
                  <c:v>5.2675920725347023</c:v>
                </c:pt>
                <c:pt idx="118">
                  <c:v>6.2227979274611398</c:v>
                </c:pt>
                <c:pt idx="119">
                  <c:v>5.8565803338694469</c:v>
                </c:pt>
                <c:pt idx="120">
                  <c:v>5.4328495209683902</c:v>
                </c:pt>
                <c:pt idx="121">
                  <c:v>5.3892934304233018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2A-4254-BFF3-83D1A8352F69}"/>
            </c:ext>
          </c:extLst>
        </c:ser>
        <c:ser>
          <c:idx val="1"/>
          <c:order val="1"/>
          <c:tx>
            <c:strRef>
              <c:f>Funnel_Weekly!$G$2</c:f>
              <c:strCache>
                <c:ptCount val="1"/>
                <c:pt idx="0">
                  <c:v>Conversion over Awareness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Funnel_Weekly!$A$130:$A$256</c15:sqref>
                  </c15:fullRef>
                </c:ext>
              </c:extLst>
              <c:f>Funnel_Weekly!$A$135:$A$256</c:f>
              <c:numCache>
                <c:formatCode>m/d/yyyy</c:formatCode>
                <c:ptCount val="122"/>
                <c:pt idx="0">
                  <c:v>43954</c:v>
                </c:pt>
                <c:pt idx="1">
                  <c:v>43961</c:v>
                </c:pt>
                <c:pt idx="2">
                  <c:v>43968</c:v>
                </c:pt>
                <c:pt idx="3">
                  <c:v>43975</c:v>
                </c:pt>
                <c:pt idx="4">
                  <c:v>43982</c:v>
                </c:pt>
                <c:pt idx="5">
                  <c:v>43989</c:v>
                </c:pt>
                <c:pt idx="6">
                  <c:v>43996</c:v>
                </c:pt>
                <c:pt idx="7">
                  <c:v>44003</c:v>
                </c:pt>
                <c:pt idx="8">
                  <c:v>44010</c:v>
                </c:pt>
                <c:pt idx="9">
                  <c:v>44017</c:v>
                </c:pt>
                <c:pt idx="10">
                  <c:v>44024</c:v>
                </c:pt>
                <c:pt idx="11">
                  <c:v>44031</c:v>
                </c:pt>
                <c:pt idx="12">
                  <c:v>44038</c:v>
                </c:pt>
                <c:pt idx="13">
                  <c:v>44045</c:v>
                </c:pt>
                <c:pt idx="14">
                  <c:v>44052</c:v>
                </c:pt>
                <c:pt idx="15">
                  <c:v>44059</c:v>
                </c:pt>
                <c:pt idx="16">
                  <c:v>44066</c:v>
                </c:pt>
                <c:pt idx="17">
                  <c:v>44073</c:v>
                </c:pt>
                <c:pt idx="18">
                  <c:v>44080</c:v>
                </c:pt>
                <c:pt idx="19">
                  <c:v>44087</c:v>
                </c:pt>
                <c:pt idx="20">
                  <c:v>44094</c:v>
                </c:pt>
                <c:pt idx="21">
                  <c:v>44101</c:v>
                </c:pt>
                <c:pt idx="22">
                  <c:v>44108</c:v>
                </c:pt>
                <c:pt idx="23">
                  <c:v>44115</c:v>
                </c:pt>
                <c:pt idx="24">
                  <c:v>44122</c:v>
                </c:pt>
                <c:pt idx="25">
                  <c:v>44129</c:v>
                </c:pt>
                <c:pt idx="26">
                  <c:v>44136</c:v>
                </c:pt>
                <c:pt idx="27">
                  <c:v>44143</c:v>
                </c:pt>
                <c:pt idx="28">
                  <c:v>44150</c:v>
                </c:pt>
                <c:pt idx="29">
                  <c:v>44157</c:v>
                </c:pt>
                <c:pt idx="30">
                  <c:v>44164</c:v>
                </c:pt>
                <c:pt idx="31">
                  <c:v>44171</c:v>
                </c:pt>
                <c:pt idx="32">
                  <c:v>44178</c:v>
                </c:pt>
                <c:pt idx="33">
                  <c:v>44185</c:v>
                </c:pt>
                <c:pt idx="34">
                  <c:v>44192</c:v>
                </c:pt>
                <c:pt idx="35">
                  <c:v>44199</c:v>
                </c:pt>
                <c:pt idx="36">
                  <c:v>44206</c:v>
                </c:pt>
                <c:pt idx="37">
                  <c:v>44213</c:v>
                </c:pt>
                <c:pt idx="38">
                  <c:v>44220</c:v>
                </c:pt>
                <c:pt idx="39">
                  <c:v>44227</c:v>
                </c:pt>
                <c:pt idx="40">
                  <c:v>44234</c:v>
                </c:pt>
                <c:pt idx="41">
                  <c:v>44241</c:v>
                </c:pt>
                <c:pt idx="42">
                  <c:v>44248</c:v>
                </c:pt>
                <c:pt idx="43">
                  <c:v>44255</c:v>
                </c:pt>
                <c:pt idx="44">
                  <c:v>44262</c:v>
                </c:pt>
                <c:pt idx="45">
                  <c:v>44269</c:v>
                </c:pt>
                <c:pt idx="46">
                  <c:v>44276</c:v>
                </c:pt>
                <c:pt idx="47">
                  <c:v>44283</c:v>
                </c:pt>
                <c:pt idx="48">
                  <c:v>44290</c:v>
                </c:pt>
                <c:pt idx="49">
                  <c:v>44297</c:v>
                </c:pt>
                <c:pt idx="50">
                  <c:v>44304</c:v>
                </c:pt>
                <c:pt idx="51">
                  <c:v>44311</c:v>
                </c:pt>
                <c:pt idx="52">
                  <c:v>44318</c:v>
                </c:pt>
                <c:pt idx="53">
                  <c:v>44325</c:v>
                </c:pt>
                <c:pt idx="54">
                  <c:v>44332</c:v>
                </c:pt>
                <c:pt idx="55">
                  <c:v>44339</c:v>
                </c:pt>
                <c:pt idx="56">
                  <c:v>44346</c:v>
                </c:pt>
                <c:pt idx="57">
                  <c:v>44353</c:v>
                </c:pt>
                <c:pt idx="58">
                  <c:v>44360</c:v>
                </c:pt>
                <c:pt idx="59">
                  <c:v>44367</c:v>
                </c:pt>
                <c:pt idx="60">
                  <c:v>44374</c:v>
                </c:pt>
                <c:pt idx="61">
                  <c:v>44381</c:v>
                </c:pt>
                <c:pt idx="62">
                  <c:v>44388</c:v>
                </c:pt>
                <c:pt idx="63">
                  <c:v>44395</c:v>
                </c:pt>
                <c:pt idx="64">
                  <c:v>44402</c:v>
                </c:pt>
                <c:pt idx="65">
                  <c:v>44409</c:v>
                </c:pt>
                <c:pt idx="66">
                  <c:v>44416</c:v>
                </c:pt>
                <c:pt idx="67">
                  <c:v>44423</c:v>
                </c:pt>
                <c:pt idx="68">
                  <c:v>44430</c:v>
                </c:pt>
                <c:pt idx="69">
                  <c:v>44437</c:v>
                </c:pt>
                <c:pt idx="70">
                  <c:v>44444</c:v>
                </c:pt>
                <c:pt idx="71">
                  <c:v>44451</c:v>
                </c:pt>
                <c:pt idx="72">
                  <c:v>44458</c:v>
                </c:pt>
                <c:pt idx="73">
                  <c:v>44465</c:v>
                </c:pt>
                <c:pt idx="74">
                  <c:v>44472</c:v>
                </c:pt>
                <c:pt idx="75">
                  <c:v>44479</c:v>
                </c:pt>
                <c:pt idx="76">
                  <c:v>44486</c:v>
                </c:pt>
                <c:pt idx="77">
                  <c:v>44493</c:v>
                </c:pt>
                <c:pt idx="78">
                  <c:v>44500</c:v>
                </c:pt>
                <c:pt idx="79">
                  <c:v>44507</c:v>
                </c:pt>
                <c:pt idx="80">
                  <c:v>44514</c:v>
                </c:pt>
                <c:pt idx="81">
                  <c:v>44521</c:v>
                </c:pt>
                <c:pt idx="82">
                  <c:v>44528</c:v>
                </c:pt>
                <c:pt idx="83">
                  <c:v>44535</c:v>
                </c:pt>
                <c:pt idx="84">
                  <c:v>44542</c:v>
                </c:pt>
                <c:pt idx="85">
                  <c:v>44549</c:v>
                </c:pt>
                <c:pt idx="86">
                  <c:v>44556</c:v>
                </c:pt>
                <c:pt idx="87">
                  <c:v>44563</c:v>
                </c:pt>
                <c:pt idx="88">
                  <c:v>44570</c:v>
                </c:pt>
                <c:pt idx="89">
                  <c:v>44577</c:v>
                </c:pt>
                <c:pt idx="90">
                  <c:v>44584</c:v>
                </c:pt>
                <c:pt idx="91">
                  <c:v>44591</c:v>
                </c:pt>
                <c:pt idx="92">
                  <c:v>44598</c:v>
                </c:pt>
                <c:pt idx="93">
                  <c:v>44605</c:v>
                </c:pt>
                <c:pt idx="94">
                  <c:v>44612</c:v>
                </c:pt>
                <c:pt idx="95">
                  <c:v>44619</c:v>
                </c:pt>
                <c:pt idx="96">
                  <c:v>44626</c:v>
                </c:pt>
                <c:pt idx="97">
                  <c:v>44633</c:v>
                </c:pt>
                <c:pt idx="98">
                  <c:v>44640</c:v>
                </c:pt>
                <c:pt idx="99">
                  <c:v>44647</c:v>
                </c:pt>
                <c:pt idx="100">
                  <c:v>44654</c:v>
                </c:pt>
                <c:pt idx="101">
                  <c:v>44661</c:v>
                </c:pt>
                <c:pt idx="102">
                  <c:v>44668</c:v>
                </c:pt>
                <c:pt idx="103">
                  <c:v>44675</c:v>
                </c:pt>
                <c:pt idx="104">
                  <c:v>44682</c:v>
                </c:pt>
                <c:pt idx="105">
                  <c:v>44689</c:v>
                </c:pt>
                <c:pt idx="106">
                  <c:v>44696</c:v>
                </c:pt>
                <c:pt idx="107">
                  <c:v>44703</c:v>
                </c:pt>
                <c:pt idx="108">
                  <c:v>44710</c:v>
                </c:pt>
                <c:pt idx="109">
                  <c:v>44717</c:v>
                </c:pt>
                <c:pt idx="110">
                  <c:v>44724</c:v>
                </c:pt>
                <c:pt idx="111">
                  <c:v>44731</c:v>
                </c:pt>
                <c:pt idx="112">
                  <c:v>44738</c:v>
                </c:pt>
                <c:pt idx="113">
                  <c:v>44745</c:v>
                </c:pt>
                <c:pt idx="114">
                  <c:v>44752</c:v>
                </c:pt>
                <c:pt idx="115">
                  <c:v>44759</c:v>
                </c:pt>
                <c:pt idx="116">
                  <c:v>44766</c:v>
                </c:pt>
                <c:pt idx="117">
                  <c:v>44773</c:v>
                </c:pt>
                <c:pt idx="118">
                  <c:v>44780</c:v>
                </c:pt>
                <c:pt idx="119">
                  <c:v>44787</c:v>
                </c:pt>
                <c:pt idx="120">
                  <c:v>44794</c:v>
                </c:pt>
                <c:pt idx="121">
                  <c:v>44801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Funnel_Weekly!$G$130:$G$256</c15:sqref>
                  </c15:fullRef>
                </c:ext>
              </c:extLst>
              <c:f>Funnel_Weekly!$G$135:$G$256</c:f>
              <c:numCache>
                <c:formatCode>0.00</c:formatCode>
                <c:ptCount val="122"/>
                <c:pt idx="0">
                  <c:v>0.82114447010520919</c:v>
                </c:pt>
                <c:pt idx="1">
                  <c:v>0.46849379245724992</c:v>
                </c:pt>
                <c:pt idx="2">
                  <c:v>0.50323508267433503</c:v>
                </c:pt>
                <c:pt idx="3">
                  <c:v>0.31826861871419476</c:v>
                </c:pt>
                <c:pt idx="4">
                  <c:v>0.39735099337748342</c:v>
                </c:pt>
                <c:pt idx="5">
                  <c:v>0.62732342007434949</c:v>
                </c:pt>
                <c:pt idx="6">
                  <c:v>0.40505122706695257</c:v>
                </c:pt>
                <c:pt idx="7">
                  <c:v>0.58959241220199954</c:v>
                </c:pt>
                <c:pt idx="8">
                  <c:v>0.40098017375807526</c:v>
                </c:pt>
                <c:pt idx="9">
                  <c:v>0.55131467345207796</c:v>
                </c:pt>
                <c:pt idx="10">
                  <c:v>0.39981185324553153</c:v>
                </c:pt>
                <c:pt idx="11">
                  <c:v>0.49822064056939502</c:v>
                </c:pt>
                <c:pt idx="12">
                  <c:v>0.51144666341938627</c:v>
                </c:pt>
                <c:pt idx="13">
                  <c:v>0.52552552552552556</c:v>
                </c:pt>
                <c:pt idx="14">
                  <c:v>0.55328361799374548</c:v>
                </c:pt>
                <c:pt idx="15">
                  <c:v>0.61394891944990171</c:v>
                </c:pt>
                <c:pt idx="16">
                  <c:v>0.9765625</c:v>
                </c:pt>
                <c:pt idx="17">
                  <c:v>0.62311989686291369</c:v>
                </c:pt>
                <c:pt idx="18">
                  <c:v>0.60180541624874617</c:v>
                </c:pt>
                <c:pt idx="19">
                  <c:v>0.58018101647714082</c:v>
                </c:pt>
                <c:pt idx="20">
                  <c:v>0.40798797509126045</c:v>
                </c:pt>
                <c:pt idx="21">
                  <c:v>0.61484409310496269</c:v>
                </c:pt>
                <c:pt idx="22">
                  <c:v>0.47906686107061025</c:v>
                </c:pt>
                <c:pt idx="23">
                  <c:v>0</c:v>
                </c:pt>
                <c:pt idx="24">
                  <c:v>0.54617676266137039</c:v>
                </c:pt>
                <c:pt idx="25">
                  <c:v>0.6420133538777606</c:v>
                </c:pt>
                <c:pt idx="26">
                  <c:v>0.46985121378230232</c:v>
                </c:pt>
                <c:pt idx="27">
                  <c:v>0.42959427207637235</c:v>
                </c:pt>
                <c:pt idx="28">
                  <c:v>0.45141363744357327</c:v>
                </c:pt>
                <c:pt idx="29">
                  <c:v>0.62615955473098328</c:v>
                </c:pt>
                <c:pt idx="30">
                  <c:v>0.60869565217391308</c:v>
                </c:pt>
                <c:pt idx="31">
                  <c:v>0.46189376443418012</c:v>
                </c:pt>
                <c:pt idx="32">
                  <c:v>0.28478437754271768</c:v>
                </c:pt>
                <c:pt idx="33">
                  <c:v>0.43276661514683151</c:v>
                </c:pt>
                <c:pt idx="34">
                  <c:v>0.41383387525864618</c:v>
                </c:pt>
                <c:pt idx="35">
                  <c:v>0.5573248407643312</c:v>
                </c:pt>
                <c:pt idx="36">
                  <c:v>0.76504932554862093</c:v>
                </c:pt>
                <c:pt idx="37">
                  <c:v>0.642620232172471</c:v>
                </c:pt>
                <c:pt idx="38">
                  <c:v>0.32492354740061163</c:v>
                </c:pt>
                <c:pt idx="39">
                  <c:v>0.75503355704697994</c:v>
                </c:pt>
                <c:pt idx="40">
                  <c:v>0.60765314501560186</c:v>
                </c:pt>
                <c:pt idx="41">
                  <c:v>0.45859185325060692</c:v>
                </c:pt>
                <c:pt idx="42">
                  <c:v>0.60672059738643436</c:v>
                </c:pt>
                <c:pt idx="43">
                  <c:v>0.88044485634847081</c:v>
                </c:pt>
                <c:pt idx="44">
                  <c:v>0.78113034155307093</c:v>
                </c:pt>
                <c:pt idx="45">
                  <c:v>0.41030690956835714</c:v>
                </c:pt>
                <c:pt idx="46">
                  <c:v>0.58190795274202078</c:v>
                </c:pt>
                <c:pt idx="47">
                  <c:v>0.6067723624975534</c:v>
                </c:pt>
                <c:pt idx="48">
                  <c:v>0.57357949453307044</c:v>
                </c:pt>
                <c:pt idx="49">
                  <c:v>0.57545943939112687</c:v>
                </c:pt>
                <c:pt idx="50">
                  <c:v>0.48534963149379834</c:v>
                </c:pt>
                <c:pt idx="51">
                  <c:v>0.44459644322845415</c:v>
                </c:pt>
                <c:pt idx="52">
                  <c:v>0.50377833753148615</c:v>
                </c:pt>
                <c:pt idx="53">
                  <c:v>0.54390054390054388</c:v>
                </c:pt>
                <c:pt idx="54">
                  <c:v>0.59372349448685324</c:v>
                </c:pt>
                <c:pt idx="55">
                  <c:v>0.8238699621465152</c:v>
                </c:pt>
                <c:pt idx="56">
                  <c:v>0.67524794260392484</c:v>
                </c:pt>
                <c:pt idx="57">
                  <c:v>0.59221658206429784</c:v>
                </c:pt>
                <c:pt idx="58">
                  <c:v>0.63112078346028289</c:v>
                </c:pt>
                <c:pt idx="59">
                  <c:v>0.58493785035339996</c:v>
                </c:pt>
                <c:pt idx="60">
                  <c:v>0.62929061784897022</c:v>
                </c:pt>
                <c:pt idx="61">
                  <c:v>0.52897884084636615</c:v>
                </c:pt>
                <c:pt idx="62">
                  <c:v>0.66800267201068808</c:v>
                </c:pt>
                <c:pt idx="63">
                  <c:v>0.62995800279981329</c:v>
                </c:pt>
                <c:pt idx="64">
                  <c:v>0.86907765629380429</c:v>
                </c:pt>
                <c:pt idx="65">
                  <c:v>0.64843529743445161</c:v>
                </c:pt>
                <c:pt idx="66">
                  <c:v>0.71989528795811519</c:v>
                </c:pt>
                <c:pt idx="67">
                  <c:v>0.48951048951048953</c:v>
                </c:pt>
                <c:pt idx="68">
                  <c:v>0.6380263717566993</c:v>
                </c:pt>
                <c:pt idx="69">
                  <c:v>0.61596778014688458</c:v>
                </c:pt>
                <c:pt idx="70">
                  <c:v>0.67298105682951137</c:v>
                </c:pt>
                <c:pt idx="71">
                  <c:v>1.0431154381084839</c:v>
                </c:pt>
                <c:pt idx="72">
                  <c:v>0.45192066281697213</c:v>
                </c:pt>
                <c:pt idx="73">
                  <c:v>0.86500655307994756</c:v>
                </c:pt>
                <c:pt idx="74">
                  <c:v>0.64695009242144186</c:v>
                </c:pt>
                <c:pt idx="75">
                  <c:v>0.78236130867709808</c:v>
                </c:pt>
                <c:pt idx="76">
                  <c:v>0.66331198536139069</c:v>
                </c:pt>
                <c:pt idx="77">
                  <c:v>0.87500000000000011</c:v>
                </c:pt>
                <c:pt idx="78">
                  <c:v>0.82923037056232185</c:v>
                </c:pt>
                <c:pt idx="79">
                  <c:v>0.70991432068543447</c:v>
                </c:pt>
                <c:pt idx="80">
                  <c:v>0.64951286535098685</c:v>
                </c:pt>
                <c:pt idx="81">
                  <c:v>0.84485407066052232</c:v>
                </c:pt>
                <c:pt idx="82">
                  <c:v>0.65843621399176955</c:v>
                </c:pt>
                <c:pt idx="83">
                  <c:v>0.94291539245667677</c:v>
                </c:pt>
                <c:pt idx="84">
                  <c:v>0.74110671936758887</c:v>
                </c:pt>
                <c:pt idx="85">
                  <c:v>0.56664867781975181</c:v>
                </c:pt>
                <c:pt idx="86">
                  <c:v>0.60874377421140002</c:v>
                </c:pt>
                <c:pt idx="87">
                  <c:v>0.93480345158197509</c:v>
                </c:pt>
                <c:pt idx="88">
                  <c:v>1.0064862446879894</c:v>
                </c:pt>
                <c:pt idx="89">
                  <c:v>1.1603967808347371</c:v>
                </c:pt>
                <c:pt idx="90">
                  <c:v>0.99808061420345495</c:v>
                </c:pt>
                <c:pt idx="91">
                  <c:v>0.85902745819911031</c:v>
                </c:pt>
                <c:pt idx="92">
                  <c:v>0.72564458854407898</c:v>
                </c:pt>
                <c:pt idx="93">
                  <c:v>0.77181208053691275</c:v>
                </c:pt>
                <c:pt idx="94">
                  <c:v>1.1256030016080043</c:v>
                </c:pt>
                <c:pt idx="95">
                  <c:v>0.86358829749735633</c:v>
                </c:pt>
                <c:pt idx="96">
                  <c:v>0.80588647512263489</c:v>
                </c:pt>
                <c:pt idx="97">
                  <c:v>0.82290980908492439</c:v>
                </c:pt>
                <c:pt idx="98">
                  <c:v>0.90987124463519309</c:v>
                </c:pt>
                <c:pt idx="99">
                  <c:v>0.64427957828973059</c:v>
                </c:pt>
                <c:pt idx="100">
                  <c:v>0.69919666765843502</c:v>
                </c:pt>
                <c:pt idx="101">
                  <c:v>0.57785888077858882</c:v>
                </c:pt>
                <c:pt idx="102">
                  <c:v>0.95574485767712447</c:v>
                </c:pt>
                <c:pt idx="103">
                  <c:v>0.89119170984455953</c:v>
                </c:pt>
                <c:pt idx="104">
                  <c:v>1.166063530357861</c:v>
                </c:pt>
                <c:pt idx="105">
                  <c:v>1.7204716798762807</c:v>
                </c:pt>
                <c:pt idx="106">
                  <c:v>0.88878760255241573</c:v>
                </c:pt>
                <c:pt idx="107">
                  <c:v>0.5795701521371649</c:v>
                </c:pt>
                <c:pt idx="108">
                  <c:v>0.6462333825701625</c:v>
                </c:pt>
                <c:pt idx="109">
                  <c:v>0.89285714285714279</c:v>
                </c:pt>
                <c:pt idx="110">
                  <c:v>1.1400966183574879</c:v>
                </c:pt>
                <c:pt idx="111">
                  <c:v>0.9494949494949495</c:v>
                </c:pt>
                <c:pt idx="112">
                  <c:v>0.57191273035373857</c:v>
                </c:pt>
                <c:pt idx="113">
                  <c:v>0.7226013649136892</c:v>
                </c:pt>
                <c:pt idx="114">
                  <c:v>1.3289036544850499</c:v>
                </c:pt>
                <c:pt idx="115">
                  <c:v>1.1559725247110069</c:v>
                </c:pt>
                <c:pt idx="116">
                  <c:v>0.36577400391900716</c:v>
                </c:pt>
                <c:pt idx="117">
                  <c:v>0.34100938778785206</c:v>
                </c:pt>
                <c:pt idx="118">
                  <c:v>0.39378238341968913</c:v>
                </c:pt>
                <c:pt idx="119">
                  <c:v>0.41595030780322778</c:v>
                </c:pt>
                <c:pt idx="120">
                  <c:v>0.41879410246113247</c:v>
                </c:pt>
                <c:pt idx="121">
                  <c:v>0.30407297751460349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2A-4254-BFF3-83D1A8352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82240"/>
        <c:axId val="426681256"/>
      </c:lineChart>
      <c:lineChart>
        <c:grouping val="standard"/>
        <c:varyColors val="0"/>
        <c:ser>
          <c:idx val="2"/>
          <c:order val="2"/>
          <c:tx>
            <c:strRef>
              <c:f>Funnel_Weekly!$H$2</c:f>
              <c:strCache>
                <c:ptCount val="1"/>
                <c:pt idx="0">
                  <c:v>Conversion over Consideration 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Funnel_Weekly!$A$130:$A$256</c15:sqref>
                  </c15:fullRef>
                </c:ext>
              </c:extLst>
              <c:f>Funnel_Weekly!$A$135:$A$256</c:f>
              <c:numCache>
                <c:formatCode>m/d/yyyy</c:formatCode>
                <c:ptCount val="122"/>
                <c:pt idx="0">
                  <c:v>43954</c:v>
                </c:pt>
                <c:pt idx="1">
                  <c:v>43961</c:v>
                </c:pt>
                <c:pt idx="2">
                  <c:v>43968</c:v>
                </c:pt>
                <c:pt idx="3">
                  <c:v>43975</c:v>
                </c:pt>
                <c:pt idx="4">
                  <c:v>43982</c:v>
                </c:pt>
                <c:pt idx="5">
                  <c:v>43989</c:v>
                </c:pt>
                <c:pt idx="6">
                  <c:v>43996</c:v>
                </c:pt>
                <c:pt idx="7">
                  <c:v>44003</c:v>
                </c:pt>
                <c:pt idx="8">
                  <c:v>44010</c:v>
                </c:pt>
                <c:pt idx="9">
                  <c:v>44017</c:v>
                </c:pt>
                <c:pt idx="10">
                  <c:v>44024</c:v>
                </c:pt>
                <c:pt idx="11">
                  <c:v>44031</c:v>
                </c:pt>
                <c:pt idx="12">
                  <c:v>44038</c:v>
                </c:pt>
                <c:pt idx="13">
                  <c:v>44045</c:v>
                </c:pt>
                <c:pt idx="14">
                  <c:v>44052</c:v>
                </c:pt>
                <c:pt idx="15">
                  <c:v>44059</c:v>
                </c:pt>
                <c:pt idx="16">
                  <c:v>44066</c:v>
                </c:pt>
                <c:pt idx="17">
                  <c:v>44073</c:v>
                </c:pt>
                <c:pt idx="18">
                  <c:v>44080</c:v>
                </c:pt>
                <c:pt idx="19">
                  <c:v>44087</c:v>
                </c:pt>
                <c:pt idx="20">
                  <c:v>44094</c:v>
                </c:pt>
                <c:pt idx="21">
                  <c:v>44101</c:v>
                </c:pt>
                <c:pt idx="22">
                  <c:v>44108</c:v>
                </c:pt>
                <c:pt idx="23">
                  <c:v>44115</c:v>
                </c:pt>
                <c:pt idx="24">
                  <c:v>44122</c:v>
                </c:pt>
                <c:pt idx="25">
                  <c:v>44129</c:v>
                </c:pt>
                <c:pt idx="26">
                  <c:v>44136</c:v>
                </c:pt>
                <c:pt idx="27">
                  <c:v>44143</c:v>
                </c:pt>
                <c:pt idx="28">
                  <c:v>44150</c:v>
                </c:pt>
                <c:pt idx="29">
                  <c:v>44157</c:v>
                </c:pt>
                <c:pt idx="30">
                  <c:v>44164</c:v>
                </c:pt>
                <c:pt idx="31">
                  <c:v>44171</c:v>
                </c:pt>
                <c:pt idx="32">
                  <c:v>44178</c:v>
                </c:pt>
                <c:pt idx="33">
                  <c:v>44185</c:v>
                </c:pt>
                <c:pt idx="34">
                  <c:v>44192</c:v>
                </c:pt>
                <c:pt idx="35">
                  <c:v>44199</c:v>
                </c:pt>
                <c:pt idx="36">
                  <c:v>44206</c:v>
                </c:pt>
                <c:pt idx="37">
                  <c:v>44213</c:v>
                </c:pt>
                <c:pt idx="38">
                  <c:v>44220</c:v>
                </c:pt>
                <c:pt idx="39">
                  <c:v>44227</c:v>
                </c:pt>
                <c:pt idx="40">
                  <c:v>44234</c:v>
                </c:pt>
                <c:pt idx="41">
                  <c:v>44241</c:v>
                </c:pt>
                <c:pt idx="42">
                  <c:v>44248</c:v>
                </c:pt>
                <c:pt idx="43">
                  <c:v>44255</c:v>
                </c:pt>
                <c:pt idx="44">
                  <c:v>44262</c:v>
                </c:pt>
                <c:pt idx="45">
                  <c:v>44269</c:v>
                </c:pt>
                <c:pt idx="46">
                  <c:v>44276</c:v>
                </c:pt>
                <c:pt idx="47">
                  <c:v>44283</c:v>
                </c:pt>
                <c:pt idx="48">
                  <c:v>44290</c:v>
                </c:pt>
                <c:pt idx="49">
                  <c:v>44297</c:v>
                </c:pt>
                <c:pt idx="50">
                  <c:v>44304</c:v>
                </c:pt>
                <c:pt idx="51">
                  <c:v>44311</c:v>
                </c:pt>
                <c:pt idx="52">
                  <c:v>44318</c:v>
                </c:pt>
                <c:pt idx="53">
                  <c:v>44325</c:v>
                </c:pt>
                <c:pt idx="54">
                  <c:v>44332</c:v>
                </c:pt>
                <c:pt idx="55">
                  <c:v>44339</c:v>
                </c:pt>
                <c:pt idx="56">
                  <c:v>44346</c:v>
                </c:pt>
                <c:pt idx="57">
                  <c:v>44353</c:v>
                </c:pt>
                <c:pt idx="58">
                  <c:v>44360</c:v>
                </c:pt>
                <c:pt idx="59">
                  <c:v>44367</c:v>
                </c:pt>
                <c:pt idx="60">
                  <c:v>44374</c:v>
                </c:pt>
                <c:pt idx="61">
                  <c:v>44381</c:v>
                </c:pt>
                <c:pt idx="62">
                  <c:v>44388</c:v>
                </c:pt>
                <c:pt idx="63">
                  <c:v>44395</c:v>
                </c:pt>
                <c:pt idx="64">
                  <c:v>44402</c:v>
                </c:pt>
                <c:pt idx="65">
                  <c:v>44409</c:v>
                </c:pt>
                <c:pt idx="66">
                  <c:v>44416</c:v>
                </c:pt>
                <c:pt idx="67">
                  <c:v>44423</c:v>
                </c:pt>
                <c:pt idx="68">
                  <c:v>44430</c:v>
                </c:pt>
                <c:pt idx="69">
                  <c:v>44437</c:v>
                </c:pt>
                <c:pt idx="70">
                  <c:v>44444</c:v>
                </c:pt>
                <c:pt idx="71">
                  <c:v>44451</c:v>
                </c:pt>
                <c:pt idx="72">
                  <c:v>44458</c:v>
                </c:pt>
                <c:pt idx="73">
                  <c:v>44465</c:v>
                </c:pt>
                <c:pt idx="74">
                  <c:v>44472</c:v>
                </c:pt>
                <c:pt idx="75">
                  <c:v>44479</c:v>
                </c:pt>
                <c:pt idx="76">
                  <c:v>44486</c:v>
                </c:pt>
                <c:pt idx="77">
                  <c:v>44493</c:v>
                </c:pt>
                <c:pt idx="78">
                  <c:v>44500</c:v>
                </c:pt>
                <c:pt idx="79">
                  <c:v>44507</c:v>
                </c:pt>
                <c:pt idx="80">
                  <c:v>44514</c:v>
                </c:pt>
                <c:pt idx="81">
                  <c:v>44521</c:v>
                </c:pt>
                <c:pt idx="82">
                  <c:v>44528</c:v>
                </c:pt>
                <c:pt idx="83">
                  <c:v>44535</c:v>
                </c:pt>
                <c:pt idx="84">
                  <c:v>44542</c:v>
                </c:pt>
                <c:pt idx="85">
                  <c:v>44549</c:v>
                </c:pt>
                <c:pt idx="86">
                  <c:v>44556</c:v>
                </c:pt>
                <c:pt idx="87">
                  <c:v>44563</c:v>
                </c:pt>
                <c:pt idx="88">
                  <c:v>44570</c:v>
                </c:pt>
                <c:pt idx="89">
                  <c:v>44577</c:v>
                </c:pt>
                <c:pt idx="90">
                  <c:v>44584</c:v>
                </c:pt>
                <c:pt idx="91">
                  <c:v>44591</c:v>
                </c:pt>
                <c:pt idx="92">
                  <c:v>44598</c:v>
                </c:pt>
                <c:pt idx="93">
                  <c:v>44605</c:v>
                </c:pt>
                <c:pt idx="94">
                  <c:v>44612</c:v>
                </c:pt>
                <c:pt idx="95">
                  <c:v>44619</c:v>
                </c:pt>
                <c:pt idx="96">
                  <c:v>44626</c:v>
                </c:pt>
                <c:pt idx="97">
                  <c:v>44633</c:v>
                </c:pt>
                <c:pt idx="98">
                  <c:v>44640</c:v>
                </c:pt>
                <c:pt idx="99">
                  <c:v>44647</c:v>
                </c:pt>
                <c:pt idx="100">
                  <c:v>44654</c:v>
                </c:pt>
                <c:pt idx="101">
                  <c:v>44661</c:v>
                </c:pt>
                <c:pt idx="102">
                  <c:v>44668</c:v>
                </c:pt>
                <c:pt idx="103">
                  <c:v>44675</c:v>
                </c:pt>
                <c:pt idx="104">
                  <c:v>44682</c:v>
                </c:pt>
                <c:pt idx="105">
                  <c:v>44689</c:v>
                </c:pt>
                <c:pt idx="106">
                  <c:v>44696</c:v>
                </c:pt>
                <c:pt idx="107">
                  <c:v>44703</c:v>
                </c:pt>
                <c:pt idx="108">
                  <c:v>44710</c:v>
                </c:pt>
                <c:pt idx="109">
                  <c:v>44717</c:v>
                </c:pt>
                <c:pt idx="110">
                  <c:v>44724</c:v>
                </c:pt>
                <c:pt idx="111">
                  <c:v>44731</c:v>
                </c:pt>
                <c:pt idx="112">
                  <c:v>44738</c:v>
                </c:pt>
                <c:pt idx="113">
                  <c:v>44745</c:v>
                </c:pt>
                <c:pt idx="114">
                  <c:v>44752</c:v>
                </c:pt>
                <c:pt idx="115">
                  <c:v>44759</c:v>
                </c:pt>
                <c:pt idx="116">
                  <c:v>44766</c:v>
                </c:pt>
                <c:pt idx="117">
                  <c:v>44773</c:v>
                </c:pt>
                <c:pt idx="118">
                  <c:v>44780</c:v>
                </c:pt>
                <c:pt idx="119">
                  <c:v>44787</c:v>
                </c:pt>
                <c:pt idx="120">
                  <c:v>44794</c:v>
                </c:pt>
                <c:pt idx="121">
                  <c:v>44801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Funnel_Weekly!$H$130:$H$256</c15:sqref>
                  </c15:fullRef>
                </c:ext>
              </c:extLst>
              <c:f>Funnel_Weekly!$H$135:$H$256</c:f>
              <c:numCache>
                <c:formatCode>0.00</c:formatCode>
                <c:ptCount val="122"/>
                <c:pt idx="0">
                  <c:v>14.035087719298245</c:v>
                </c:pt>
                <c:pt idx="1">
                  <c:v>8.8888888888888893</c:v>
                </c:pt>
                <c:pt idx="2">
                  <c:v>11.413043478260869</c:v>
                </c:pt>
                <c:pt idx="3">
                  <c:v>6.666666666666667</c:v>
                </c:pt>
                <c:pt idx="4">
                  <c:v>8.1447963800904972</c:v>
                </c:pt>
                <c:pt idx="5">
                  <c:v>13.366336633663368</c:v>
                </c:pt>
                <c:pt idx="6">
                  <c:v>8.3743842364532011</c:v>
                </c:pt>
                <c:pt idx="7">
                  <c:v>12.5</c:v>
                </c:pt>
                <c:pt idx="8">
                  <c:v>11.25</c:v>
                </c:pt>
                <c:pt idx="9">
                  <c:v>13.612565445026178</c:v>
                </c:pt>
                <c:pt idx="10">
                  <c:v>9.2896174863387984</c:v>
                </c:pt>
                <c:pt idx="11">
                  <c:v>11.413043478260869</c:v>
                </c:pt>
                <c:pt idx="12">
                  <c:v>10.880829015544041</c:v>
                </c:pt>
                <c:pt idx="13">
                  <c:v>12.138728323699421</c:v>
                </c:pt>
                <c:pt idx="14">
                  <c:v>11.004784688995215</c:v>
                </c:pt>
                <c:pt idx="15">
                  <c:v>13.297872340425531</c:v>
                </c:pt>
                <c:pt idx="16">
                  <c:v>19.230769230769234</c:v>
                </c:pt>
                <c:pt idx="17">
                  <c:v>13.679245283018867</c:v>
                </c:pt>
                <c:pt idx="18">
                  <c:v>13.259668508287293</c:v>
                </c:pt>
                <c:pt idx="19">
                  <c:v>12.437810945273633</c:v>
                </c:pt>
                <c:pt idx="20">
                  <c:v>11.377245508982035</c:v>
                </c:pt>
                <c:pt idx="21">
                  <c:v>14.507772020725387</c:v>
                </c:pt>
                <c:pt idx="22">
                  <c:v>11.057692307692307</c:v>
                </c:pt>
                <c:pt idx="23">
                  <c:v>0</c:v>
                </c:pt>
                <c:pt idx="24">
                  <c:v>11.167512690355331</c:v>
                </c:pt>
                <c:pt idx="25">
                  <c:v>11.574074074074074</c:v>
                </c:pt>
                <c:pt idx="26">
                  <c:v>11.320754716981133</c:v>
                </c:pt>
                <c:pt idx="27">
                  <c:v>10.526315789473683</c:v>
                </c:pt>
                <c:pt idx="28">
                  <c:v>9.3137254901960791</c:v>
                </c:pt>
                <c:pt idx="29">
                  <c:v>14.285714285714285</c:v>
                </c:pt>
                <c:pt idx="30">
                  <c:v>12.785388127853881</c:v>
                </c:pt>
                <c:pt idx="31">
                  <c:v>11.822660098522167</c:v>
                </c:pt>
                <c:pt idx="32">
                  <c:v>7.3298429319371721</c:v>
                </c:pt>
                <c:pt idx="33">
                  <c:v>11.111111111111111</c:v>
                </c:pt>
                <c:pt idx="34">
                  <c:v>10.37037037037037</c:v>
                </c:pt>
                <c:pt idx="35">
                  <c:v>11.111111111111111</c:v>
                </c:pt>
                <c:pt idx="36">
                  <c:v>17.194570135746606</c:v>
                </c:pt>
                <c:pt idx="37">
                  <c:v>14.975845410628018</c:v>
                </c:pt>
                <c:pt idx="38">
                  <c:v>6.5134099616858236</c:v>
                </c:pt>
                <c:pt idx="39">
                  <c:v>15.625</c:v>
                </c:pt>
                <c:pt idx="40">
                  <c:v>13.653136531365314</c:v>
                </c:pt>
                <c:pt idx="41">
                  <c:v>13.600000000000001</c:v>
                </c:pt>
                <c:pt idx="42">
                  <c:v>13</c:v>
                </c:pt>
                <c:pt idx="43">
                  <c:v>20.141342756183743</c:v>
                </c:pt>
                <c:pt idx="44">
                  <c:v>15.838509316770185</c:v>
                </c:pt>
                <c:pt idx="45">
                  <c:v>8.0385852090032159</c:v>
                </c:pt>
                <c:pt idx="46">
                  <c:v>11.743772241992882</c:v>
                </c:pt>
                <c:pt idx="47">
                  <c:v>12.757201646090536</c:v>
                </c:pt>
                <c:pt idx="48">
                  <c:v>12.121212121212121</c:v>
                </c:pt>
                <c:pt idx="49">
                  <c:v>11.151079136690647</c:v>
                </c:pt>
                <c:pt idx="50">
                  <c:v>9.7472924187725631</c:v>
                </c:pt>
                <c:pt idx="51">
                  <c:v>10.15625</c:v>
                </c:pt>
                <c:pt idx="52">
                  <c:v>11.255411255411255</c:v>
                </c:pt>
                <c:pt idx="53">
                  <c:v>10.408921933085502</c:v>
                </c:pt>
                <c:pt idx="54">
                  <c:v>11.336032388663968</c:v>
                </c:pt>
                <c:pt idx="55">
                  <c:v>18.407960199004975</c:v>
                </c:pt>
                <c:pt idx="56">
                  <c:v>16.580310880829018</c:v>
                </c:pt>
                <c:pt idx="57">
                  <c:v>13.930348258706468</c:v>
                </c:pt>
                <c:pt idx="58">
                  <c:v>13.80952380952381</c:v>
                </c:pt>
                <c:pt idx="59">
                  <c:v>12.56544502617801</c:v>
                </c:pt>
                <c:pt idx="60">
                  <c:v>13.750000000000002</c:v>
                </c:pt>
                <c:pt idx="61">
                  <c:v>12.23404255319149</c:v>
                </c:pt>
                <c:pt idx="62">
                  <c:v>13.953488372093023</c:v>
                </c:pt>
                <c:pt idx="63">
                  <c:v>12.053571428571429</c:v>
                </c:pt>
                <c:pt idx="64">
                  <c:v>16.48936170212766</c:v>
                </c:pt>
                <c:pt idx="65">
                  <c:v>13.450292397660817</c:v>
                </c:pt>
                <c:pt idx="66">
                  <c:v>15.492957746478872</c:v>
                </c:pt>
                <c:pt idx="67">
                  <c:v>12.5</c:v>
                </c:pt>
                <c:pt idx="68">
                  <c:v>16.853932584269664</c:v>
                </c:pt>
                <c:pt idx="69">
                  <c:v>14.444444444444443</c:v>
                </c:pt>
                <c:pt idx="70">
                  <c:v>17.532467532467532</c:v>
                </c:pt>
                <c:pt idx="71">
                  <c:v>24.456521739130434</c:v>
                </c:pt>
                <c:pt idx="72">
                  <c:v>10.526315789473683</c:v>
                </c:pt>
                <c:pt idx="73">
                  <c:v>19.642857142857142</c:v>
                </c:pt>
                <c:pt idx="74">
                  <c:v>14.814814814814813</c:v>
                </c:pt>
                <c:pt idx="75">
                  <c:v>17.934782608695652</c:v>
                </c:pt>
                <c:pt idx="76">
                  <c:v>16.86046511627907</c:v>
                </c:pt>
                <c:pt idx="77">
                  <c:v>15.981735159817351</c:v>
                </c:pt>
                <c:pt idx="78">
                  <c:v>12.8</c:v>
                </c:pt>
                <c:pt idx="79">
                  <c:v>11.740890688259109</c:v>
                </c:pt>
                <c:pt idx="80">
                  <c:v>10.92436974789916</c:v>
                </c:pt>
                <c:pt idx="81">
                  <c:v>12.741312741312742</c:v>
                </c:pt>
                <c:pt idx="82">
                  <c:v>8.921933085501859</c:v>
                </c:pt>
                <c:pt idx="83">
                  <c:v>14.979757085020243</c:v>
                </c:pt>
                <c:pt idx="84">
                  <c:v>13.274336283185843</c:v>
                </c:pt>
                <c:pt idx="85">
                  <c:v>10.5</c:v>
                </c:pt>
                <c:pt idx="86">
                  <c:v>12.571428571428573</c:v>
                </c:pt>
                <c:pt idx="87">
                  <c:v>16.525423728813561</c:v>
                </c:pt>
                <c:pt idx="88">
                  <c:v>18.218623481781375</c:v>
                </c:pt>
                <c:pt idx="89">
                  <c:v>20.875420875420875</c:v>
                </c:pt>
                <c:pt idx="90">
                  <c:v>16.666666666666664</c:v>
                </c:pt>
                <c:pt idx="91">
                  <c:v>14.854111405835543</c:v>
                </c:pt>
                <c:pt idx="92">
                  <c:v>13.702623906705538</c:v>
                </c:pt>
                <c:pt idx="93">
                  <c:v>12.994350282485875</c:v>
                </c:pt>
                <c:pt idx="94">
                  <c:v>20.860927152317881</c:v>
                </c:pt>
                <c:pt idx="95">
                  <c:v>19.140625</c:v>
                </c:pt>
                <c:pt idx="96">
                  <c:v>17.624521072796934</c:v>
                </c:pt>
                <c:pt idx="97">
                  <c:v>14.97005988023952</c:v>
                </c:pt>
                <c:pt idx="98">
                  <c:v>18.861209964412812</c:v>
                </c:pt>
                <c:pt idx="99">
                  <c:v>12.595419847328243</c:v>
                </c:pt>
                <c:pt idx="100">
                  <c:v>12.207792207792208</c:v>
                </c:pt>
                <c:pt idx="101">
                  <c:v>12.025316455696203</c:v>
                </c:pt>
                <c:pt idx="102">
                  <c:v>16.428571428571427</c:v>
                </c:pt>
                <c:pt idx="103">
                  <c:v>17.338709677419356</c:v>
                </c:pt>
                <c:pt idx="104">
                  <c:v>15.718157181571815</c:v>
                </c:pt>
                <c:pt idx="105">
                  <c:v>16.064981949458485</c:v>
                </c:pt>
                <c:pt idx="106">
                  <c:v>11.890243902439025</c:v>
                </c:pt>
                <c:pt idx="107">
                  <c:v>8.8888888888888893</c:v>
                </c:pt>
                <c:pt idx="108">
                  <c:v>8.6848635235732008</c:v>
                </c:pt>
                <c:pt idx="109">
                  <c:v>13.196480938416421</c:v>
                </c:pt>
                <c:pt idx="110">
                  <c:v>12.82608695652174</c:v>
                </c:pt>
                <c:pt idx="111">
                  <c:v>11.032863849765258</c:v>
                </c:pt>
                <c:pt idx="112">
                  <c:v>6.9587628865979383</c:v>
                </c:pt>
                <c:pt idx="113">
                  <c:v>6.8702290076335881</c:v>
                </c:pt>
                <c:pt idx="114">
                  <c:v>10.691823899371069</c:v>
                </c:pt>
                <c:pt idx="115">
                  <c:v>10.764430577223088</c:v>
                </c:pt>
                <c:pt idx="116">
                  <c:v>6.0957910014513788</c:v>
                </c:pt>
                <c:pt idx="117">
                  <c:v>6.4737242955064733</c:v>
                </c:pt>
                <c:pt idx="118">
                  <c:v>6.3280599500416326</c:v>
                </c:pt>
                <c:pt idx="119">
                  <c:v>7.1022727272727275</c:v>
                </c:pt>
                <c:pt idx="120">
                  <c:v>7.7085533262935586</c:v>
                </c:pt>
                <c:pt idx="121">
                  <c:v>5.6421677802524126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2A-4254-BFF3-83D1A8352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44560"/>
        <c:axId val="426704872"/>
      </c:lineChart>
      <c:dateAx>
        <c:axId val="426682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81256"/>
        <c:crosses val="autoZero"/>
        <c:auto val="1"/>
        <c:lblOffset val="100"/>
        <c:baseTimeUnit val="days"/>
      </c:dateAx>
      <c:valAx>
        <c:axId val="42668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682240"/>
        <c:crosses val="autoZero"/>
        <c:crossBetween val="between"/>
      </c:valAx>
      <c:valAx>
        <c:axId val="4267048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44560"/>
        <c:crosses val="max"/>
        <c:crossBetween val="between"/>
      </c:valAx>
      <c:dateAx>
        <c:axId val="4247445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2670487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_xlchart.v2.14</cx:f>
      </cx:strDim>
      <cx:numDim type="val">
        <cx:f dir="row">_xlchart.v2.15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1/31/2021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_xlchart.v2.8</cx:f>
      </cx:strDim>
      <cx:numDim type="val">
        <cx:f dir="row">_xlchart.v2.9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11/1/2020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_xlchart.v2.3</cx:f>
      </cx:strDim>
      <cx:numDim type="val">
        <cx:f dir="row">_xlchart.v2.2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8/2/2020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_xlchart.v2.10</cx:f>
      </cx:strDim>
      <cx:numDim type="val">
        <cx:f dir="row">_xlchart.v2.11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5/3/2020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_xlchart.v2.16</cx:f>
      </cx:strDim>
      <cx:numDim type="val">
        <cx:f dir="row">_xlchart.v2.17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5/2/2021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_xlchart.v2.20</cx:f>
      </cx:strDim>
      <cx:numDim type="val">
        <cx:f dir="row">_xlchart.v2.21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8/1/2021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_xlchart.v2.24</cx:f>
      </cx:strDim>
      <cx:numDim type="val">
        <cx:f dir="row">_xlchart.v2.25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10/31/2021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_xlchart.v2.28</cx:f>
      </cx:strDim>
      <cx:numDim type="val">
        <cx:f dir="row">_xlchart.v2.29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1/30/2022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_xlchart.v2.19</cx:f>
      </cx:strDim>
      <cx:numDim type="val">
        <cx:f dir="row">_xlchart.v2.18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Quarter 5/1/2022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_xlchart.v2.13</cx:f>
      </cx:strDim>
      <cx:numDim type="val">
        <cx:f dir="row">_xlchart.v2.12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5/3/2020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_xlchart.v2.1</cx:f>
      </cx:strDim>
      <cx:numDim type="val">
        <cx:f dir="row">_xlchart.v2.0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8/2/2020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_xlchart.v2.5</cx:f>
      </cx:strDim>
      <cx:numDim type="val">
        <cx:f dir="row">_xlchart.v2.4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11/1/2020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_xlchart.v2.27</cx:f>
      </cx:strDim>
      <cx:numDim type="val">
        <cx:f dir="row">_xlchart.v2.26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1/31/2021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_xlchart.v2.35</cx:f>
      </cx:strDim>
      <cx:numDim type="val">
        <cx:f dir="row">_xlchart.v2.34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5/2/2021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_xlchart.v2.39</cx:f>
      </cx:strDim>
      <cx:numDim type="val">
        <cx:f dir="row">_xlchart.v2.38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8/1/2021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_xlchart.v2.37</cx:f>
      </cx:strDim>
      <cx:numDim type="val">
        <cx:f dir="row">_xlchart.v2.36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10/31/2021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_xlchart.v2.31</cx:f>
      </cx:strDim>
      <cx:numDim type="val">
        <cx:f dir="row">_xlchart.v2.30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1/30/2022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_xlchart.v2.33</cx:f>
      </cx:strDim>
      <cx:numDim type="val">
        <cx:f dir="row">_xlchart.v2.32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Quarter 5/1/2022</a:t>
            </a:r>
            <a:r>
              <a:rPr lang="en-US"/>
              <a:t> 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_xlchart.v2.6</cx:f>
      </cx:strDim>
      <cx:numDim type="val">
        <cx:f dir="row">_xlchart.v2.7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- 5/3/2020-9/19/2020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_xlchart.v2.23</cx:f>
      </cx:strDim>
      <cx:numDim type="val">
        <cx:f dir="row">_xlchart.v2.22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- 9/20/2020-7/24/2021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_xlchart.v2.40</cx:f>
      </cx:strDim>
      <cx:numDim type="val">
        <cx:f dir="row">_xlchart.v2.41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iTrade - 7/25/2021-6/4/2022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_xlchart.v2.47</cx:f>
      </cx:strDim>
      <cx:numDim type="val">
        <cx:f dir="row">_xlchart.v2.46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- 5/3/2020-11/28/2020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2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_xlchart.v2.43</cx:f>
      </cx:strDim>
      <cx:numDim type="val">
        <cx:f dir="row">_xlchart.v2.42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- 11/29/2020-7/31/2021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hartEx2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_xlchart.v2.45</cx:f>
      </cx:strDim>
      <cx:numDim type="val">
        <cx:f dir="row">_xlchart.v2.44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Wealth - 8/1/2021-6/4/2022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funnel" uniqueId="{CE979B88-7923-4F63-9E3D-E8797C554C26}">
          <cx:dataPt idx="0">
            <cx:spPr>
              <a:solidFill>
                <a:sysClr val="window" lastClr="FFFFFF">
                  <a:lumMod val="65000"/>
                </a:sysClr>
              </a:solidFill>
            </cx:spPr>
          </cx:dataPt>
          <cx:dataPt idx="1">
            <cx:spPr>
              <a:solidFill>
                <a:srgbClr val="FFC000">
                  <a:lumMod val="75000"/>
                </a:srgbClr>
              </a:solidFill>
            </cx:spPr>
          </cx:dataPt>
          <cx:dataPt idx="2">
            <cx:spPr>
              <a:solidFill>
                <a:srgbClr val="C00000"/>
              </a:solidFill>
            </cx:spPr>
          </cx:dataPt>
          <cx:dataId val="0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13" Type="http://schemas.microsoft.com/office/2014/relationships/chartEx" Target="../charts/chartEx9.xml"/><Relationship Id="rId18" Type="http://schemas.microsoft.com/office/2014/relationships/chartEx" Target="../charts/chartEx14.xml"/><Relationship Id="rId26" Type="http://schemas.microsoft.com/office/2014/relationships/chartEx" Target="../charts/chartEx22.xml"/><Relationship Id="rId3" Type="http://schemas.openxmlformats.org/officeDocument/2006/relationships/chart" Target="../charts/chart3.xml"/><Relationship Id="rId21" Type="http://schemas.microsoft.com/office/2014/relationships/chartEx" Target="../charts/chartEx17.xml"/><Relationship Id="rId7" Type="http://schemas.microsoft.com/office/2014/relationships/chartEx" Target="../charts/chartEx3.xml"/><Relationship Id="rId12" Type="http://schemas.microsoft.com/office/2014/relationships/chartEx" Target="../charts/chartEx8.xml"/><Relationship Id="rId17" Type="http://schemas.microsoft.com/office/2014/relationships/chartEx" Target="../charts/chartEx13.xml"/><Relationship Id="rId25" Type="http://schemas.microsoft.com/office/2014/relationships/chartEx" Target="../charts/chartEx21.xml"/><Relationship Id="rId2" Type="http://schemas.openxmlformats.org/officeDocument/2006/relationships/chart" Target="../charts/chart2.xml"/><Relationship Id="rId16" Type="http://schemas.microsoft.com/office/2014/relationships/chartEx" Target="../charts/chartEx12.xml"/><Relationship Id="rId20" Type="http://schemas.microsoft.com/office/2014/relationships/chartEx" Target="../charts/chartEx16.xml"/><Relationship Id="rId1" Type="http://schemas.openxmlformats.org/officeDocument/2006/relationships/chart" Target="../charts/chart1.xml"/><Relationship Id="rId6" Type="http://schemas.microsoft.com/office/2014/relationships/chartEx" Target="../charts/chartEx2.xml"/><Relationship Id="rId11" Type="http://schemas.microsoft.com/office/2014/relationships/chartEx" Target="../charts/chartEx7.xml"/><Relationship Id="rId24" Type="http://schemas.microsoft.com/office/2014/relationships/chartEx" Target="../charts/chartEx20.xml"/><Relationship Id="rId5" Type="http://schemas.microsoft.com/office/2014/relationships/chartEx" Target="../charts/chartEx1.xml"/><Relationship Id="rId15" Type="http://schemas.microsoft.com/office/2014/relationships/chartEx" Target="../charts/chartEx11.xml"/><Relationship Id="rId23" Type="http://schemas.microsoft.com/office/2014/relationships/chartEx" Target="../charts/chartEx19.xml"/><Relationship Id="rId28" Type="http://schemas.microsoft.com/office/2014/relationships/chartEx" Target="../charts/chartEx24.xml"/><Relationship Id="rId10" Type="http://schemas.microsoft.com/office/2014/relationships/chartEx" Target="../charts/chartEx6.xml"/><Relationship Id="rId19" Type="http://schemas.microsoft.com/office/2014/relationships/chartEx" Target="../charts/chartEx15.xml"/><Relationship Id="rId4" Type="http://schemas.openxmlformats.org/officeDocument/2006/relationships/chart" Target="../charts/chart4.xml"/><Relationship Id="rId9" Type="http://schemas.microsoft.com/office/2014/relationships/chartEx" Target="../charts/chartEx5.xml"/><Relationship Id="rId14" Type="http://schemas.microsoft.com/office/2014/relationships/chartEx" Target="../charts/chartEx10.xml"/><Relationship Id="rId22" Type="http://schemas.microsoft.com/office/2014/relationships/chartEx" Target="../charts/chartEx18.xml"/><Relationship Id="rId27" Type="http://schemas.microsoft.com/office/2014/relationships/chartEx" Target="../charts/chartEx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571500</xdr:colOff>
      <xdr:row>1</xdr:row>
      <xdr:rowOff>0</xdr:rowOff>
    </xdr:from>
    <xdr:to>
      <xdr:col>36</xdr:col>
      <xdr:colOff>266700</xdr:colOff>
      <xdr:row>33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8409176-FBE9-49DE-B8E5-26336E5D5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514350</xdr:colOff>
      <xdr:row>1</xdr:row>
      <xdr:rowOff>0</xdr:rowOff>
    </xdr:from>
    <xdr:to>
      <xdr:col>44</xdr:col>
      <xdr:colOff>209550</xdr:colOff>
      <xdr:row>33</xdr:row>
      <xdr:rowOff>66675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362F301-36A1-4564-A6F3-DAAA4A4F5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571500</xdr:colOff>
      <xdr:row>42</xdr:row>
      <xdr:rowOff>23812</xdr:rowOff>
    </xdr:from>
    <xdr:to>
      <xdr:col>36</xdr:col>
      <xdr:colOff>266700</xdr:colOff>
      <xdr:row>56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CC5E5-C5BA-AFB3-43EF-2FA9AF1A1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595312</xdr:colOff>
      <xdr:row>42</xdr:row>
      <xdr:rowOff>33337</xdr:rowOff>
    </xdr:from>
    <xdr:to>
      <xdr:col>44</xdr:col>
      <xdr:colOff>290512</xdr:colOff>
      <xdr:row>56</xdr:row>
      <xdr:rowOff>109537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4E5501-4506-96D6-AC77-26341A2AFD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14</xdr:col>
      <xdr:colOff>166688</xdr:colOff>
      <xdr:row>53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2400F365-24D7-4B2A-898D-8AD377C26D6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8953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166688</xdr:colOff>
      <xdr:row>40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4" name="Chart 13">
              <a:extLst>
                <a:ext uri="{FF2B5EF4-FFF2-40B4-BE49-F238E27FC236}">
                  <a16:creationId xmlns:a16="http://schemas.microsoft.com/office/drawing/2014/main" id="{0B8DFBF8-F420-4EF5-B0F0-5D8784C67A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6477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21</xdr:row>
      <xdr:rowOff>0</xdr:rowOff>
    </xdr:from>
    <xdr:to>
      <xdr:col>14</xdr:col>
      <xdr:colOff>166688</xdr:colOff>
      <xdr:row>27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5" name="Chart 14">
              <a:extLst>
                <a:ext uri="{FF2B5EF4-FFF2-40B4-BE49-F238E27FC236}">
                  <a16:creationId xmlns:a16="http://schemas.microsoft.com/office/drawing/2014/main" id="{5F8E1C2E-7A8D-43DD-B792-D7A4FC96AD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4000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8</xdr:row>
      <xdr:rowOff>0</xdr:rowOff>
    </xdr:from>
    <xdr:to>
      <xdr:col>14</xdr:col>
      <xdr:colOff>166688</xdr:colOff>
      <xdr:row>14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6" name="Chart 15">
              <a:extLst>
                <a:ext uri="{FF2B5EF4-FFF2-40B4-BE49-F238E27FC236}">
                  <a16:creationId xmlns:a16="http://schemas.microsoft.com/office/drawing/2014/main" id="{2F5B208B-EE2B-4FAA-82EA-B26DB7D59D2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1524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60</xdr:row>
      <xdr:rowOff>0</xdr:rowOff>
    </xdr:from>
    <xdr:to>
      <xdr:col>14</xdr:col>
      <xdr:colOff>166688</xdr:colOff>
      <xdr:row>66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100F2895-BD36-48FE-99C7-11F13B59AC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11430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73</xdr:row>
      <xdr:rowOff>0</xdr:rowOff>
    </xdr:from>
    <xdr:to>
      <xdr:col>14</xdr:col>
      <xdr:colOff>166688</xdr:colOff>
      <xdr:row>79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E84F4A75-13DC-45F9-BEA6-1A374E0A34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13906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86</xdr:row>
      <xdr:rowOff>0</xdr:rowOff>
    </xdr:from>
    <xdr:to>
      <xdr:col>14</xdr:col>
      <xdr:colOff>166688</xdr:colOff>
      <xdr:row>92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9" name="Chart 18">
              <a:extLst>
                <a:ext uri="{FF2B5EF4-FFF2-40B4-BE49-F238E27FC236}">
                  <a16:creationId xmlns:a16="http://schemas.microsoft.com/office/drawing/2014/main" id="{D8B4C82F-4B06-4B38-A4BD-07F24BD0B7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16383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99</xdr:row>
      <xdr:rowOff>0</xdr:rowOff>
    </xdr:from>
    <xdr:to>
      <xdr:col>14</xdr:col>
      <xdr:colOff>166688</xdr:colOff>
      <xdr:row>105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57427E2D-300F-4542-8983-AB91E0704E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18859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112</xdr:row>
      <xdr:rowOff>0</xdr:rowOff>
    </xdr:from>
    <xdr:to>
      <xdr:col>14</xdr:col>
      <xdr:colOff>166688</xdr:colOff>
      <xdr:row>118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89218E3B-FAE6-41BE-84A5-D3B70AB9A2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21336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135</xdr:row>
      <xdr:rowOff>0</xdr:rowOff>
    </xdr:from>
    <xdr:to>
      <xdr:col>14</xdr:col>
      <xdr:colOff>166688</xdr:colOff>
      <xdr:row>141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A828CA53-9692-4E78-BA0D-E15C4DDEC1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25717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148</xdr:row>
      <xdr:rowOff>0</xdr:rowOff>
    </xdr:from>
    <xdr:to>
      <xdr:col>14</xdr:col>
      <xdr:colOff>166688</xdr:colOff>
      <xdr:row>154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3" name="Chart 22">
              <a:extLst>
                <a:ext uri="{FF2B5EF4-FFF2-40B4-BE49-F238E27FC236}">
                  <a16:creationId xmlns:a16="http://schemas.microsoft.com/office/drawing/2014/main" id="{0C684B28-303B-4AFB-9EED-C73907E003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28194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161</xdr:row>
      <xdr:rowOff>0</xdr:rowOff>
    </xdr:from>
    <xdr:to>
      <xdr:col>14</xdr:col>
      <xdr:colOff>166688</xdr:colOff>
      <xdr:row>167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4" name="Chart 23">
              <a:extLst>
                <a:ext uri="{FF2B5EF4-FFF2-40B4-BE49-F238E27FC236}">
                  <a16:creationId xmlns:a16="http://schemas.microsoft.com/office/drawing/2014/main" id="{B93352A8-ACCD-4EE0-B620-164BC2D20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30670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174</xdr:row>
      <xdr:rowOff>0</xdr:rowOff>
    </xdr:from>
    <xdr:to>
      <xdr:col>14</xdr:col>
      <xdr:colOff>166688</xdr:colOff>
      <xdr:row>180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99E92C1B-B6E0-40A7-B1F0-82C94F7AE4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33147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187</xdr:row>
      <xdr:rowOff>0</xdr:rowOff>
    </xdr:from>
    <xdr:to>
      <xdr:col>14</xdr:col>
      <xdr:colOff>166688</xdr:colOff>
      <xdr:row>193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6" name="Chart 25">
              <a:extLst>
                <a:ext uri="{FF2B5EF4-FFF2-40B4-BE49-F238E27FC236}">
                  <a16:creationId xmlns:a16="http://schemas.microsoft.com/office/drawing/2014/main" id="{6CBBA528-3D3E-4BE9-87A8-A54C580D83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35623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200</xdr:row>
      <xdr:rowOff>0</xdr:rowOff>
    </xdr:from>
    <xdr:to>
      <xdr:col>14</xdr:col>
      <xdr:colOff>166688</xdr:colOff>
      <xdr:row>206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F9929328-3AB7-4595-B7B9-1B3C4418D7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38100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213</xdr:row>
      <xdr:rowOff>0</xdr:rowOff>
    </xdr:from>
    <xdr:to>
      <xdr:col>14</xdr:col>
      <xdr:colOff>166688</xdr:colOff>
      <xdr:row>219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51A6F1C4-57F0-4AD7-A108-AE008E9571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40576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226</xdr:row>
      <xdr:rowOff>0</xdr:rowOff>
    </xdr:from>
    <xdr:to>
      <xdr:col>14</xdr:col>
      <xdr:colOff>166688</xdr:colOff>
      <xdr:row>232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A143D978-B624-4371-B41E-780DC95D3C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430530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239</xdr:row>
      <xdr:rowOff>0</xdr:rowOff>
    </xdr:from>
    <xdr:to>
      <xdr:col>14</xdr:col>
      <xdr:colOff>166688</xdr:colOff>
      <xdr:row>245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03A4D9A2-B359-4C05-B28C-0463CACFFF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29225" y="45529500"/>
              <a:ext cx="2843213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0</xdr:colOff>
      <xdr:row>8</xdr:row>
      <xdr:rowOff>0</xdr:rowOff>
    </xdr:from>
    <xdr:to>
      <xdr:col>27</xdr:col>
      <xdr:colOff>381000</xdr:colOff>
      <xdr:row>14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8EED349-D54A-4B42-BB70-C8E43919C9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0" y="1524000"/>
              <a:ext cx="3000375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0</xdr:colOff>
      <xdr:row>28</xdr:row>
      <xdr:rowOff>0</xdr:rowOff>
    </xdr:from>
    <xdr:to>
      <xdr:col>27</xdr:col>
      <xdr:colOff>381000</xdr:colOff>
      <xdr:row>34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4E4BBE6-B0A4-4006-A9BF-5B4053B021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0" y="5334000"/>
              <a:ext cx="3000375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0</xdr:colOff>
      <xdr:row>72</xdr:row>
      <xdr:rowOff>0</xdr:rowOff>
    </xdr:from>
    <xdr:to>
      <xdr:col>27</xdr:col>
      <xdr:colOff>381000</xdr:colOff>
      <xdr:row>78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FD27628-FB8A-4621-927A-48AE81A792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0" y="13716000"/>
              <a:ext cx="3000375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0</xdr:colOff>
      <xdr:row>135</xdr:row>
      <xdr:rowOff>0</xdr:rowOff>
    </xdr:from>
    <xdr:to>
      <xdr:col>27</xdr:col>
      <xdr:colOff>381000</xdr:colOff>
      <xdr:row>141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43C1B492-2444-46AD-9A2A-7F1A462A7C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0" y="25717500"/>
              <a:ext cx="3000375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0</xdr:colOff>
      <xdr:row>165</xdr:row>
      <xdr:rowOff>0</xdr:rowOff>
    </xdr:from>
    <xdr:to>
      <xdr:col>27</xdr:col>
      <xdr:colOff>381000</xdr:colOff>
      <xdr:row>171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843CF000-9985-493C-922E-03AC454ADE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0" y="31432500"/>
              <a:ext cx="3000375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21</xdr:col>
      <xdr:colOff>0</xdr:colOff>
      <xdr:row>200</xdr:row>
      <xdr:rowOff>0</xdr:rowOff>
    </xdr:from>
    <xdr:to>
      <xdr:col>27</xdr:col>
      <xdr:colOff>381000</xdr:colOff>
      <xdr:row>206</xdr:row>
      <xdr:rowOff>90488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A27526A0-2BFE-4CE9-9607-7EBEE35040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0" y="38100000"/>
              <a:ext cx="3000375" cy="12334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56"/>
  <sheetViews>
    <sheetView tabSelected="1" topLeftCell="Y7" workbookViewId="0">
      <selection activeCell="AO39" sqref="AO39"/>
    </sheetView>
  </sheetViews>
  <sheetFormatPr defaultRowHeight="15" x14ac:dyDescent="0.25"/>
  <cols>
    <col min="1" max="1" width="10.7109375" bestFit="1" customWidth="1"/>
    <col min="2" max="2" width="12.85546875" bestFit="1" customWidth="1"/>
    <col min="9" max="9" width="7.5703125" customWidth="1"/>
    <col min="10" max="12" width="6.85546875" customWidth="1"/>
    <col min="13" max="15" width="6" style="3" customWidth="1"/>
    <col min="16" max="16" width="8.28515625" style="3" customWidth="1"/>
    <col min="17" max="21" width="6" style="3" customWidth="1"/>
    <col min="22" max="22" width="8.140625" style="3" customWidth="1"/>
    <col min="23" max="23" width="7.140625" style="3" customWidth="1"/>
    <col min="24" max="28" width="6" style="3" customWidth="1"/>
  </cols>
  <sheetData>
    <row r="1" spans="1:28" x14ac:dyDescent="0.25">
      <c r="C1" s="4" t="s">
        <v>14</v>
      </c>
      <c r="D1" s="4"/>
      <c r="E1" s="4"/>
      <c r="F1" s="4"/>
      <c r="G1" s="4"/>
      <c r="H1" s="4"/>
      <c r="I1" s="4" t="s">
        <v>15</v>
      </c>
      <c r="J1" s="4"/>
      <c r="K1" s="4"/>
      <c r="L1" s="4"/>
      <c r="M1" s="4"/>
      <c r="N1" s="4"/>
      <c r="O1" s="4"/>
      <c r="P1" s="5" t="s">
        <v>16</v>
      </c>
      <c r="Q1" s="4"/>
      <c r="R1" s="4"/>
      <c r="S1" s="4"/>
      <c r="T1" s="4"/>
      <c r="U1" s="4"/>
      <c r="V1" s="4" t="s">
        <v>17</v>
      </c>
      <c r="W1" s="4"/>
      <c r="X1" s="4"/>
      <c r="Y1" s="4"/>
      <c r="Z1" s="4"/>
      <c r="AA1" s="4"/>
      <c r="AB1" s="4"/>
    </row>
    <row r="2" spans="1:28" x14ac:dyDescent="0.25">
      <c r="A2" t="s">
        <v>0</v>
      </c>
      <c r="B2" t="s">
        <v>1</v>
      </c>
      <c r="C2" t="s">
        <v>2</v>
      </c>
      <c r="D2" t="s">
        <v>3</v>
      </c>
      <c r="E2" t="s">
        <v>9</v>
      </c>
      <c r="F2" s="3" t="s">
        <v>11</v>
      </c>
      <c r="G2" s="3" t="s">
        <v>12</v>
      </c>
      <c r="H2" s="3" t="s">
        <v>13</v>
      </c>
      <c r="I2" t="s">
        <v>2</v>
      </c>
      <c r="J2" t="s">
        <v>3</v>
      </c>
      <c r="K2" t="s">
        <v>9</v>
      </c>
      <c r="L2" t="s">
        <v>2</v>
      </c>
      <c r="M2" s="3" t="s">
        <v>3</v>
      </c>
      <c r="N2" s="3" t="s">
        <v>9</v>
      </c>
      <c r="O2" s="3" t="s">
        <v>13</v>
      </c>
      <c r="P2" t="s">
        <v>2</v>
      </c>
      <c r="Q2" t="s">
        <v>3</v>
      </c>
      <c r="R2" t="s">
        <v>9</v>
      </c>
      <c r="S2" s="3" t="s">
        <v>11</v>
      </c>
      <c r="T2" s="3" t="s">
        <v>12</v>
      </c>
      <c r="U2" s="3" t="s">
        <v>13</v>
      </c>
      <c r="V2" t="s">
        <v>2</v>
      </c>
      <c r="W2" t="s">
        <v>3</v>
      </c>
      <c r="X2" t="s">
        <v>9</v>
      </c>
      <c r="Y2" t="s">
        <v>2</v>
      </c>
      <c r="Z2" s="3" t="s">
        <v>3</v>
      </c>
      <c r="AA2" s="3" t="s">
        <v>9</v>
      </c>
      <c r="AB2" s="3" t="s">
        <v>13</v>
      </c>
    </row>
    <row r="3" spans="1:28" x14ac:dyDescent="0.25">
      <c r="A3" s="1">
        <v>43919</v>
      </c>
      <c r="B3" t="s">
        <v>4</v>
      </c>
      <c r="C3">
        <v>80281</v>
      </c>
      <c r="D3">
        <v>0</v>
      </c>
      <c r="E3">
        <v>0</v>
      </c>
      <c r="F3" s="3">
        <f t="shared" ref="F3:F7" si="0">D3/C3*100</f>
        <v>0</v>
      </c>
      <c r="G3" s="3">
        <f t="shared" ref="G3:G7" si="1">E3/C3*100</f>
        <v>0</v>
      </c>
      <c r="H3" s="3" t="e">
        <f t="shared" ref="H3:H7" si="2">E3/D3*100</f>
        <v>#DIV/0!</v>
      </c>
    </row>
    <row r="4" spans="1:28" x14ac:dyDescent="0.25">
      <c r="A4" s="1">
        <v>43926</v>
      </c>
      <c r="B4" t="s">
        <v>4</v>
      </c>
      <c r="C4">
        <v>80600</v>
      </c>
      <c r="D4">
        <v>0</v>
      </c>
      <c r="E4">
        <v>0</v>
      </c>
      <c r="F4" s="3">
        <f t="shared" si="0"/>
        <v>0</v>
      </c>
      <c r="G4" s="3">
        <f t="shared" si="1"/>
        <v>0</v>
      </c>
      <c r="H4" s="3" t="e">
        <f t="shared" si="2"/>
        <v>#DIV/0!</v>
      </c>
    </row>
    <row r="5" spans="1:28" x14ac:dyDescent="0.25">
      <c r="A5" s="1">
        <v>43933</v>
      </c>
      <c r="B5" t="s">
        <v>4</v>
      </c>
      <c r="C5">
        <v>62205</v>
      </c>
      <c r="D5">
        <v>0</v>
      </c>
      <c r="E5">
        <v>0</v>
      </c>
      <c r="F5" s="3">
        <f t="shared" si="0"/>
        <v>0</v>
      </c>
      <c r="G5" s="3">
        <f t="shared" si="1"/>
        <v>0</v>
      </c>
      <c r="H5" s="3" t="e">
        <f t="shared" si="2"/>
        <v>#DIV/0!</v>
      </c>
    </row>
    <row r="6" spans="1:28" x14ac:dyDescent="0.25">
      <c r="A6" s="1">
        <v>43940</v>
      </c>
      <c r="B6" t="s">
        <v>4</v>
      </c>
      <c r="C6">
        <v>71454</v>
      </c>
      <c r="D6">
        <v>0</v>
      </c>
      <c r="E6">
        <v>0</v>
      </c>
      <c r="F6" s="3">
        <f t="shared" si="0"/>
        <v>0</v>
      </c>
      <c r="G6" s="3">
        <f t="shared" si="1"/>
        <v>0</v>
      </c>
      <c r="H6" s="3" t="e">
        <f t="shared" si="2"/>
        <v>#DIV/0!</v>
      </c>
    </row>
    <row r="7" spans="1:28" x14ac:dyDescent="0.25">
      <c r="A7" s="1">
        <v>43947</v>
      </c>
      <c r="B7" t="s">
        <v>4</v>
      </c>
      <c r="C7">
        <v>67387</v>
      </c>
      <c r="D7">
        <v>0</v>
      </c>
      <c r="E7">
        <v>0</v>
      </c>
      <c r="F7" s="3">
        <f t="shared" si="0"/>
        <v>0</v>
      </c>
      <c r="G7" s="3">
        <f t="shared" si="1"/>
        <v>0</v>
      </c>
      <c r="H7" s="3" t="e">
        <f t="shared" si="2"/>
        <v>#DIV/0!</v>
      </c>
    </row>
    <row r="8" spans="1:28" x14ac:dyDescent="0.25">
      <c r="A8" s="1">
        <v>43954</v>
      </c>
      <c r="B8" t="s">
        <v>4</v>
      </c>
      <c r="C8">
        <v>54179</v>
      </c>
      <c r="D8">
        <v>3190</v>
      </c>
      <c r="E8">
        <v>1503</v>
      </c>
      <c r="F8" s="3">
        <f>D8/C8*100</f>
        <v>5.8878901419369125</v>
      </c>
      <c r="G8" s="3">
        <f>E8/C8*100</f>
        <v>2.7741375809815612</v>
      </c>
      <c r="H8" s="3">
        <f t="shared" ref="H8" si="3">E8/D8*100</f>
        <v>47.115987460815049</v>
      </c>
      <c r="I8">
        <f>SUM(C8:C20)</f>
        <v>673823</v>
      </c>
      <c r="J8">
        <f>SUM(D8:D20)</f>
        <v>34066</v>
      </c>
      <c r="K8">
        <f>SUM(E8:E20)</f>
        <v>14569</v>
      </c>
      <c r="L8">
        <v>100</v>
      </c>
      <c r="M8" s="3">
        <f>J8/I8*100</f>
        <v>5.0556303361565273</v>
      </c>
      <c r="N8" s="3">
        <f>K8/I8*100</f>
        <v>2.1621405027729836</v>
      </c>
      <c r="O8" s="3">
        <f t="shared" ref="O8" si="4">K8/J8*100</f>
        <v>42.766981741325658</v>
      </c>
      <c r="P8">
        <f>SUM(C8:C11)</f>
        <v>215323</v>
      </c>
      <c r="Q8">
        <f>SUM(D8:D11)</f>
        <v>11337</v>
      </c>
      <c r="R8">
        <f>SUM(E8:E11)</f>
        <v>5207</v>
      </c>
      <c r="S8" s="3">
        <f t="shared" ref="S8" si="5">Q8/P8*100</f>
        <v>5.2651133413522944</v>
      </c>
      <c r="T8" s="3">
        <f t="shared" ref="T8" si="6">R8/P8*100</f>
        <v>2.4182275000812732</v>
      </c>
      <c r="U8" s="3">
        <f t="shared" ref="U8" si="7">R8/Q8*100</f>
        <v>45.929258181176678</v>
      </c>
      <c r="V8">
        <f>SUM(C8:C27)</f>
        <v>1041430</v>
      </c>
      <c r="W8">
        <f>SUM(D8:D27)</f>
        <v>51436</v>
      </c>
      <c r="X8">
        <f>SUM(E8:E27)</f>
        <v>21778</v>
      </c>
      <c r="Y8">
        <v>100</v>
      </c>
      <c r="Z8" s="3">
        <f>W8/V8*100</f>
        <v>4.9389781358324614</v>
      </c>
      <c r="AA8" s="3">
        <f>X8/V8*100</f>
        <v>2.091163112259105</v>
      </c>
      <c r="AB8" s="3">
        <f t="shared" ref="AB8" si="8">X8/W8*100</f>
        <v>42.339995334007305</v>
      </c>
    </row>
    <row r="9" spans="1:28" x14ac:dyDescent="0.25">
      <c r="A9" s="1">
        <v>43961</v>
      </c>
      <c r="B9" t="s">
        <v>4</v>
      </c>
      <c r="C9">
        <v>54145</v>
      </c>
      <c r="D9">
        <v>2977</v>
      </c>
      <c r="E9">
        <v>1368</v>
      </c>
      <c r="F9" s="3">
        <f t="shared" ref="F9:F72" si="9">D9/C9*100</f>
        <v>5.4981992797118853</v>
      </c>
      <c r="G9" s="3">
        <f t="shared" ref="G9:G72" si="10">E9/C9*100</f>
        <v>2.5265490811709297</v>
      </c>
      <c r="H9" s="3">
        <f t="shared" ref="H9:H72" si="11">E9/D9*100</f>
        <v>45.952300974135035</v>
      </c>
      <c r="P9"/>
      <c r="Q9"/>
      <c r="R9"/>
    </row>
    <row r="10" spans="1:28" x14ac:dyDescent="0.25">
      <c r="A10" s="1">
        <v>43968</v>
      </c>
      <c r="B10" t="s">
        <v>4</v>
      </c>
      <c r="C10">
        <v>55658</v>
      </c>
      <c r="D10">
        <v>2585</v>
      </c>
      <c r="E10">
        <v>1168</v>
      </c>
      <c r="F10" s="3">
        <f t="shared" si="9"/>
        <v>4.6444356606417765</v>
      </c>
      <c r="G10" s="3">
        <f t="shared" si="10"/>
        <v>2.0985303101081607</v>
      </c>
      <c r="H10" s="3">
        <f t="shared" si="11"/>
        <v>45.18375241779497</v>
      </c>
      <c r="P10"/>
      <c r="Q10"/>
      <c r="R10"/>
    </row>
    <row r="11" spans="1:28" x14ac:dyDescent="0.25">
      <c r="A11" s="1">
        <v>43975</v>
      </c>
      <c r="B11" t="s">
        <v>4</v>
      </c>
      <c r="C11">
        <v>51341</v>
      </c>
      <c r="D11">
        <v>2585</v>
      </c>
      <c r="E11">
        <v>1168</v>
      </c>
      <c r="F11" s="3">
        <f t="shared" si="9"/>
        <v>5.0349623108237083</v>
      </c>
      <c r="G11" s="3">
        <f t="shared" si="10"/>
        <v>2.2749849048518724</v>
      </c>
      <c r="H11" s="3">
        <f t="shared" si="11"/>
        <v>45.18375241779497</v>
      </c>
      <c r="P11"/>
      <c r="Q11"/>
      <c r="R11"/>
    </row>
    <row r="12" spans="1:28" x14ac:dyDescent="0.25">
      <c r="A12" s="1">
        <v>43982</v>
      </c>
      <c r="B12" t="s">
        <v>4</v>
      </c>
      <c r="C12">
        <v>53168</v>
      </c>
      <c r="D12">
        <v>2709</v>
      </c>
      <c r="E12">
        <v>1223</v>
      </c>
      <c r="F12" s="3">
        <f t="shared" si="9"/>
        <v>5.0951700270839604</v>
      </c>
      <c r="G12" s="3">
        <f t="shared" si="10"/>
        <v>2.3002557929581702</v>
      </c>
      <c r="H12" s="3">
        <f t="shared" si="11"/>
        <v>45.145810262089334</v>
      </c>
      <c r="P12">
        <f>SUM(C12:C15)</f>
        <v>213476</v>
      </c>
      <c r="Q12">
        <f>SUM(D12:D15)</f>
        <v>11237</v>
      </c>
      <c r="R12">
        <f>SUM(E12:E15)</f>
        <v>4864</v>
      </c>
      <c r="S12" s="3">
        <f t="shared" ref="S12:S72" si="12">Q12/P12*100</f>
        <v>5.2638235679889078</v>
      </c>
      <c r="T12" s="3">
        <f t="shared" ref="T12:T72" si="13">R12/P12*100</f>
        <v>2.2784762689951097</v>
      </c>
      <c r="U12" s="3">
        <f t="shared" ref="U12:U72" si="14">R12/Q12*100</f>
        <v>43.285574441576934</v>
      </c>
    </row>
    <row r="13" spans="1:28" x14ac:dyDescent="0.25">
      <c r="A13" s="1">
        <v>43989</v>
      </c>
      <c r="B13" t="s">
        <v>4</v>
      </c>
      <c r="C13">
        <v>54129</v>
      </c>
      <c r="D13">
        <v>3312</v>
      </c>
      <c r="E13">
        <v>1543</v>
      </c>
      <c r="F13" s="3">
        <f t="shared" si="9"/>
        <v>6.1187163997117997</v>
      </c>
      <c r="G13" s="3">
        <f t="shared" si="10"/>
        <v>2.8505976463633171</v>
      </c>
      <c r="H13" s="3">
        <f t="shared" si="11"/>
        <v>46.588164251207729</v>
      </c>
      <c r="P13"/>
      <c r="Q13"/>
      <c r="R13"/>
    </row>
    <row r="14" spans="1:28" x14ac:dyDescent="0.25">
      <c r="A14" s="1">
        <v>43996</v>
      </c>
      <c r="B14" t="s">
        <v>4</v>
      </c>
      <c r="C14">
        <v>49123</v>
      </c>
      <c r="D14">
        <v>2608</v>
      </c>
      <c r="E14">
        <v>1049</v>
      </c>
      <c r="F14" s="3">
        <f t="shared" si="9"/>
        <v>5.3091219998778572</v>
      </c>
      <c r="G14" s="3">
        <f t="shared" si="10"/>
        <v>2.1354558964232639</v>
      </c>
      <c r="H14" s="3">
        <f t="shared" si="11"/>
        <v>40.222392638036808</v>
      </c>
      <c r="P14"/>
      <c r="Q14"/>
      <c r="R14"/>
    </row>
    <row r="15" spans="1:28" x14ac:dyDescent="0.25">
      <c r="A15" s="1">
        <v>44003</v>
      </c>
      <c r="B15" t="s">
        <v>4</v>
      </c>
      <c r="C15">
        <v>57056</v>
      </c>
      <c r="D15">
        <v>2608</v>
      </c>
      <c r="E15">
        <v>1049</v>
      </c>
      <c r="F15" s="3">
        <f t="shared" si="9"/>
        <v>4.5709478407178912</v>
      </c>
      <c r="G15" s="3">
        <f t="shared" si="10"/>
        <v>1.8385445877734157</v>
      </c>
      <c r="H15" s="3">
        <f t="shared" si="11"/>
        <v>40.222392638036808</v>
      </c>
      <c r="P15"/>
      <c r="Q15"/>
      <c r="R15"/>
    </row>
    <row r="16" spans="1:28" x14ac:dyDescent="0.25">
      <c r="A16" s="1">
        <v>44010</v>
      </c>
      <c r="B16" t="s">
        <v>4</v>
      </c>
      <c r="C16">
        <v>48423</v>
      </c>
      <c r="D16">
        <v>2185</v>
      </c>
      <c r="E16">
        <v>897</v>
      </c>
      <c r="F16" s="3">
        <f t="shared" si="9"/>
        <v>4.5123185263201373</v>
      </c>
      <c r="G16" s="3">
        <f t="shared" si="10"/>
        <v>1.8524255002787933</v>
      </c>
      <c r="H16" s="3">
        <f t="shared" si="11"/>
        <v>41.05263157894737</v>
      </c>
      <c r="P16">
        <f>SUM(C16:C19)</f>
        <v>195826</v>
      </c>
      <c r="Q16">
        <f>SUM(D16:D19)</f>
        <v>9089</v>
      </c>
      <c r="R16">
        <f>SUM(E16:E19)</f>
        <v>3722</v>
      </c>
      <c r="S16" s="3">
        <f t="shared" si="12"/>
        <v>4.6413652936790823</v>
      </c>
      <c r="T16" s="3">
        <f t="shared" si="13"/>
        <v>1.9006669185909941</v>
      </c>
      <c r="U16" s="3">
        <f t="shared" si="14"/>
        <v>40.950599625921441</v>
      </c>
    </row>
    <row r="17" spans="1:28" x14ac:dyDescent="0.25">
      <c r="A17" s="1">
        <v>44017</v>
      </c>
      <c r="B17" t="s">
        <v>4</v>
      </c>
      <c r="C17">
        <v>49983</v>
      </c>
      <c r="D17">
        <v>2185</v>
      </c>
      <c r="E17">
        <v>897</v>
      </c>
      <c r="F17" s="3">
        <f t="shared" si="9"/>
        <v>4.3714863053438169</v>
      </c>
      <c r="G17" s="3">
        <f t="shared" si="10"/>
        <v>1.7946101674569355</v>
      </c>
      <c r="H17" s="3">
        <f t="shared" si="11"/>
        <v>41.05263157894737</v>
      </c>
      <c r="P17"/>
      <c r="Q17"/>
      <c r="R17"/>
    </row>
    <row r="18" spans="1:28" x14ac:dyDescent="0.25">
      <c r="A18" s="1">
        <v>44024</v>
      </c>
      <c r="B18" t="s">
        <v>4</v>
      </c>
      <c r="C18">
        <v>48146</v>
      </c>
      <c r="D18">
        <v>2445</v>
      </c>
      <c r="E18">
        <v>1023</v>
      </c>
      <c r="F18" s="3">
        <f t="shared" si="9"/>
        <v>5.0783034935404814</v>
      </c>
      <c r="G18" s="3">
        <f t="shared" si="10"/>
        <v>2.1247871058862624</v>
      </c>
      <c r="H18" s="3">
        <f t="shared" si="11"/>
        <v>41.840490797546018</v>
      </c>
      <c r="P18"/>
      <c r="Q18"/>
      <c r="R18"/>
    </row>
    <row r="19" spans="1:28" x14ac:dyDescent="0.25">
      <c r="A19" s="1">
        <v>44031</v>
      </c>
      <c r="B19" t="s">
        <v>4</v>
      </c>
      <c r="C19">
        <v>49274</v>
      </c>
      <c r="D19">
        <v>2274</v>
      </c>
      <c r="E19">
        <v>905</v>
      </c>
      <c r="F19" s="3">
        <f t="shared" si="9"/>
        <v>4.6150099443925807</v>
      </c>
      <c r="G19" s="3">
        <f t="shared" si="10"/>
        <v>1.8366684255388237</v>
      </c>
      <c r="H19" s="3">
        <f t="shared" si="11"/>
        <v>39.797713280562888</v>
      </c>
      <c r="P19"/>
      <c r="Q19"/>
      <c r="R19"/>
    </row>
    <row r="20" spans="1:28" x14ac:dyDescent="0.25">
      <c r="A20" s="1">
        <v>44038</v>
      </c>
      <c r="B20" t="s">
        <v>4</v>
      </c>
      <c r="C20">
        <v>49198</v>
      </c>
      <c r="D20">
        <v>2403</v>
      </c>
      <c r="E20">
        <v>776</v>
      </c>
      <c r="F20" s="3">
        <f t="shared" si="9"/>
        <v>4.8843448920687838</v>
      </c>
      <c r="G20" s="3">
        <f t="shared" si="10"/>
        <v>1.5772998902394406</v>
      </c>
      <c r="H20" s="3">
        <f t="shared" si="11"/>
        <v>32.292967124427797</v>
      </c>
      <c r="P20">
        <f>SUM(C20:C23)</f>
        <v>212222</v>
      </c>
      <c r="Q20">
        <f>SUM(D20:D23)</f>
        <v>9624</v>
      </c>
      <c r="R20">
        <f>SUM(E20:E23)</f>
        <v>3762</v>
      </c>
      <c r="S20" s="3">
        <f t="shared" si="12"/>
        <v>4.5348738585066579</v>
      </c>
      <c r="T20" s="3">
        <f t="shared" si="13"/>
        <v>1.7726720132691238</v>
      </c>
      <c r="U20" s="3">
        <f t="shared" si="14"/>
        <v>39.089775561097255</v>
      </c>
    </row>
    <row r="21" spans="1:28" x14ac:dyDescent="0.25">
      <c r="A21" s="1">
        <v>44045</v>
      </c>
      <c r="B21" t="s">
        <v>4</v>
      </c>
      <c r="C21">
        <v>62354</v>
      </c>
      <c r="D21">
        <v>2251</v>
      </c>
      <c r="E21">
        <v>920</v>
      </c>
      <c r="F21" s="3">
        <f t="shared" si="9"/>
        <v>3.6100330371748401</v>
      </c>
      <c r="G21" s="3">
        <f t="shared" si="10"/>
        <v>1.4754466433588864</v>
      </c>
      <c r="H21" s="3">
        <f t="shared" si="11"/>
        <v>40.870724122612174</v>
      </c>
      <c r="I21">
        <f>SUM(C21:C33)</f>
        <v>639971</v>
      </c>
      <c r="J21">
        <f>SUM(D21:D33)</f>
        <v>28624</v>
      </c>
      <c r="K21">
        <f>SUM(E21:E33)</f>
        <v>12042</v>
      </c>
      <c r="L21">
        <v>100</v>
      </c>
      <c r="M21" s="3">
        <f>J21/I21*100</f>
        <v>4.4727026693397045</v>
      </c>
      <c r="N21" s="3">
        <f>K21/I21*100</f>
        <v>1.8816477621642231</v>
      </c>
      <c r="O21" s="3">
        <f t="shared" ref="O21" si="15">K21/J21*100</f>
        <v>42.069591950810512</v>
      </c>
      <c r="P21"/>
      <c r="Q21"/>
      <c r="R21"/>
    </row>
    <row r="22" spans="1:28" x14ac:dyDescent="0.25">
      <c r="A22" s="1">
        <v>44052</v>
      </c>
      <c r="B22" t="s">
        <v>4</v>
      </c>
      <c r="C22">
        <v>49082</v>
      </c>
      <c r="D22">
        <v>2485</v>
      </c>
      <c r="E22">
        <v>1033</v>
      </c>
      <c r="F22" s="3">
        <f t="shared" si="9"/>
        <v>5.0629558697689578</v>
      </c>
      <c r="G22" s="3">
        <f t="shared" si="10"/>
        <v>2.1046412126645206</v>
      </c>
      <c r="H22" s="3">
        <f t="shared" si="11"/>
        <v>41.569416498993967</v>
      </c>
      <c r="P22"/>
      <c r="Q22"/>
      <c r="R22"/>
    </row>
    <row r="23" spans="1:28" x14ac:dyDescent="0.25">
      <c r="A23" s="1">
        <v>44059</v>
      </c>
      <c r="B23" t="s">
        <v>4</v>
      </c>
      <c r="C23">
        <v>51588</v>
      </c>
      <c r="D23">
        <v>2485</v>
      </c>
      <c r="E23">
        <v>1033</v>
      </c>
      <c r="F23" s="3">
        <f t="shared" si="9"/>
        <v>4.8170117081491819</v>
      </c>
      <c r="G23" s="3">
        <f t="shared" si="10"/>
        <v>2.0024036597658368</v>
      </c>
      <c r="H23" s="3">
        <f t="shared" si="11"/>
        <v>41.569416498993967</v>
      </c>
      <c r="P23"/>
      <c r="Q23"/>
      <c r="R23"/>
    </row>
    <row r="24" spans="1:28" x14ac:dyDescent="0.25">
      <c r="A24" s="1">
        <v>44066</v>
      </c>
      <c r="B24" t="s">
        <v>4</v>
      </c>
      <c r="C24">
        <v>53809</v>
      </c>
      <c r="D24">
        <v>2697</v>
      </c>
      <c r="E24">
        <v>1052</v>
      </c>
      <c r="F24" s="3">
        <f t="shared" si="9"/>
        <v>5.0121726848668438</v>
      </c>
      <c r="G24" s="3">
        <f t="shared" si="10"/>
        <v>1.9550632793770557</v>
      </c>
      <c r="H24" s="3">
        <f t="shared" si="11"/>
        <v>39.006303299962923</v>
      </c>
      <c r="P24">
        <f>SUM(C24:C27)</f>
        <v>204583</v>
      </c>
      <c r="Q24">
        <f>SUM(D24:D27)</f>
        <v>10149</v>
      </c>
      <c r="R24">
        <f>SUM(E24:E27)</f>
        <v>4223</v>
      </c>
      <c r="S24" s="3">
        <f t="shared" si="12"/>
        <v>4.9608227467580397</v>
      </c>
      <c r="T24" s="3">
        <f t="shared" si="13"/>
        <v>2.0641988826051039</v>
      </c>
      <c r="U24" s="3">
        <f t="shared" si="14"/>
        <v>41.610010838506255</v>
      </c>
    </row>
    <row r="25" spans="1:28" x14ac:dyDescent="0.25">
      <c r="A25" s="1">
        <v>44073</v>
      </c>
      <c r="B25" t="s">
        <v>4</v>
      </c>
      <c r="C25">
        <v>58362</v>
      </c>
      <c r="D25">
        <v>2555</v>
      </c>
      <c r="E25">
        <v>1040</v>
      </c>
      <c r="F25" s="3">
        <f t="shared" si="9"/>
        <v>4.377848600116514</v>
      </c>
      <c r="G25" s="3">
        <f t="shared" si="10"/>
        <v>1.7819814262705185</v>
      </c>
      <c r="H25" s="3">
        <f t="shared" si="11"/>
        <v>40.704500978473575</v>
      </c>
      <c r="P25"/>
      <c r="Q25"/>
      <c r="R25"/>
    </row>
    <row r="26" spans="1:28" x14ac:dyDescent="0.25">
      <c r="A26" s="1">
        <v>44080</v>
      </c>
      <c r="B26" t="s">
        <v>4</v>
      </c>
      <c r="C26">
        <v>45505</v>
      </c>
      <c r="D26">
        <v>2947</v>
      </c>
      <c r="E26">
        <v>1290</v>
      </c>
      <c r="F26" s="3">
        <f t="shared" si="9"/>
        <v>6.4762114053400728</v>
      </c>
      <c r="G26" s="3">
        <f t="shared" si="10"/>
        <v>2.8348533128227666</v>
      </c>
      <c r="H26" s="3">
        <f t="shared" si="11"/>
        <v>43.773328808958262</v>
      </c>
      <c r="P26"/>
      <c r="Q26"/>
      <c r="R26"/>
    </row>
    <row r="27" spans="1:28" x14ac:dyDescent="0.25">
      <c r="A27" s="1">
        <v>44087</v>
      </c>
      <c r="B27" t="s">
        <v>4</v>
      </c>
      <c r="C27">
        <v>46907</v>
      </c>
      <c r="D27">
        <v>1950</v>
      </c>
      <c r="E27">
        <v>841</v>
      </c>
      <c r="F27" s="3">
        <f t="shared" si="9"/>
        <v>4.1571620440445987</v>
      </c>
      <c r="G27" s="3">
        <f t="shared" si="10"/>
        <v>1.79290937386744</v>
      </c>
      <c r="H27" s="3">
        <f t="shared" si="11"/>
        <v>43.128205128205124</v>
      </c>
      <c r="P27"/>
      <c r="Q27"/>
      <c r="R27"/>
    </row>
    <row r="28" spans="1:28" x14ac:dyDescent="0.25">
      <c r="A28" s="1">
        <v>44094</v>
      </c>
      <c r="B28" t="s">
        <v>4</v>
      </c>
      <c r="C28">
        <v>42649</v>
      </c>
      <c r="D28">
        <v>2065</v>
      </c>
      <c r="E28">
        <v>909</v>
      </c>
      <c r="F28" s="3">
        <f t="shared" si="9"/>
        <v>4.8418485779267977</v>
      </c>
      <c r="G28" s="3">
        <f t="shared" si="10"/>
        <v>2.131351262632184</v>
      </c>
      <c r="H28" s="3">
        <f t="shared" si="11"/>
        <v>44.019370460048421</v>
      </c>
      <c r="P28">
        <f>SUM(C28:C31)</f>
        <v>185549</v>
      </c>
      <c r="Q28">
        <f>SUM(D28:D31)</f>
        <v>7468</v>
      </c>
      <c r="R28">
        <f>SUM(E28:E31)</f>
        <v>3258</v>
      </c>
      <c r="S28" s="3">
        <f t="shared" si="12"/>
        <v>4.0248128526696449</v>
      </c>
      <c r="T28" s="3">
        <f t="shared" si="13"/>
        <v>1.7558704169788035</v>
      </c>
      <c r="U28" s="3">
        <f t="shared" si="14"/>
        <v>43.626138189609001</v>
      </c>
      <c r="V28">
        <f>SUM(C28:C71)</f>
        <v>2634049</v>
      </c>
      <c r="W28">
        <f>SUM(D28:D71)</f>
        <v>137676</v>
      </c>
      <c r="X28">
        <f>SUM(E28:E71)</f>
        <v>59374</v>
      </c>
      <c r="Y28">
        <v>100</v>
      </c>
      <c r="Z28" s="3">
        <f>W28/V28*100</f>
        <v>5.2267820378436394</v>
      </c>
      <c r="AA28" s="3">
        <f>X28/V28*100</f>
        <v>2.2540962601682808</v>
      </c>
      <c r="AB28" s="3">
        <f t="shared" ref="AB28" si="16">X28/W28*100</f>
        <v>43.125889770185069</v>
      </c>
    </row>
    <row r="29" spans="1:28" x14ac:dyDescent="0.25">
      <c r="A29" s="1">
        <v>44101</v>
      </c>
      <c r="B29" t="s">
        <v>4</v>
      </c>
      <c r="C29">
        <v>44363</v>
      </c>
      <c r="D29">
        <v>1819</v>
      </c>
      <c r="E29">
        <v>762</v>
      </c>
      <c r="F29" s="3">
        <f t="shared" si="9"/>
        <v>4.1002637332912562</v>
      </c>
      <c r="G29" s="3">
        <f t="shared" si="10"/>
        <v>1.7176475892072223</v>
      </c>
      <c r="H29" s="3">
        <f t="shared" si="11"/>
        <v>41.891148982957674</v>
      </c>
      <c r="P29"/>
      <c r="Q29"/>
      <c r="R29"/>
    </row>
    <row r="30" spans="1:28" x14ac:dyDescent="0.25">
      <c r="A30" s="1">
        <v>44108</v>
      </c>
      <c r="B30" t="s">
        <v>4</v>
      </c>
      <c r="C30">
        <v>51961</v>
      </c>
      <c r="D30">
        <v>1799</v>
      </c>
      <c r="E30">
        <v>799</v>
      </c>
      <c r="F30" s="3">
        <f t="shared" si="9"/>
        <v>3.4622120436481203</v>
      </c>
      <c r="G30" s="3">
        <f t="shared" si="10"/>
        <v>1.5376917303362136</v>
      </c>
      <c r="H30" s="3">
        <f t="shared" si="11"/>
        <v>44.413563090605891</v>
      </c>
      <c r="P30"/>
      <c r="Q30"/>
      <c r="R30"/>
    </row>
    <row r="31" spans="1:28" x14ac:dyDescent="0.25">
      <c r="A31" s="1">
        <v>44115</v>
      </c>
      <c r="B31" t="s">
        <v>4</v>
      </c>
      <c r="C31">
        <v>46576</v>
      </c>
      <c r="D31">
        <v>1785</v>
      </c>
      <c r="E31">
        <v>788</v>
      </c>
      <c r="F31" s="3">
        <f t="shared" si="9"/>
        <v>3.8324458948814839</v>
      </c>
      <c r="G31" s="3">
        <f t="shared" si="10"/>
        <v>1.6918584678804534</v>
      </c>
      <c r="H31" s="3">
        <f t="shared" si="11"/>
        <v>44.145658263305322</v>
      </c>
      <c r="P31"/>
      <c r="Q31"/>
      <c r="R31"/>
    </row>
    <row r="32" spans="1:28" x14ac:dyDescent="0.25">
      <c r="A32" s="1">
        <v>44122</v>
      </c>
      <c r="B32" t="s">
        <v>4</v>
      </c>
      <c r="C32">
        <v>44872</v>
      </c>
      <c r="D32">
        <v>1855</v>
      </c>
      <c r="E32">
        <v>806</v>
      </c>
      <c r="F32" s="3">
        <f t="shared" si="9"/>
        <v>4.1339811018006776</v>
      </c>
      <c r="G32" s="3">
        <f t="shared" si="10"/>
        <v>1.7962203601354965</v>
      </c>
      <c r="H32" s="3">
        <f t="shared" si="11"/>
        <v>43.450134770889484</v>
      </c>
      <c r="P32">
        <f>SUM(C32:C35)</f>
        <v>200905</v>
      </c>
      <c r="Q32">
        <f>SUM(D32:D35)</f>
        <v>8768</v>
      </c>
      <c r="R32">
        <f>SUM(E32:E35)</f>
        <v>3561</v>
      </c>
      <c r="S32" s="3">
        <f t="shared" si="12"/>
        <v>4.3642517607824596</v>
      </c>
      <c r="T32" s="3">
        <f t="shared" si="13"/>
        <v>1.7724795301261791</v>
      </c>
      <c r="U32" s="3">
        <f t="shared" si="14"/>
        <v>40.613594890510953</v>
      </c>
    </row>
    <row r="33" spans="1:38" x14ac:dyDescent="0.25">
      <c r="A33" s="1">
        <v>44129</v>
      </c>
      <c r="B33" t="s">
        <v>4</v>
      </c>
      <c r="C33">
        <v>41943</v>
      </c>
      <c r="D33">
        <v>1931</v>
      </c>
      <c r="E33">
        <v>769</v>
      </c>
      <c r="F33" s="3">
        <f t="shared" si="9"/>
        <v>4.6038671530410316</v>
      </c>
      <c r="G33" s="3">
        <f t="shared" si="10"/>
        <v>1.8334406217962471</v>
      </c>
      <c r="H33" s="3">
        <f t="shared" si="11"/>
        <v>39.823925427239772</v>
      </c>
      <c r="P33"/>
      <c r="Q33"/>
      <c r="R33"/>
    </row>
    <row r="34" spans="1:38" x14ac:dyDescent="0.25">
      <c r="A34" s="1">
        <v>44136</v>
      </c>
      <c r="B34" t="s">
        <v>4</v>
      </c>
      <c r="C34">
        <v>44738</v>
      </c>
      <c r="D34">
        <v>1879</v>
      </c>
      <c r="E34">
        <v>786</v>
      </c>
      <c r="F34" s="3">
        <f t="shared" si="9"/>
        <v>4.2000089409450583</v>
      </c>
      <c r="G34" s="3">
        <f t="shared" si="10"/>
        <v>1.7568957038758997</v>
      </c>
      <c r="H34" s="3">
        <f t="shared" si="11"/>
        <v>41.830761043108033</v>
      </c>
      <c r="I34">
        <f>SUM(C34:C46)</f>
        <v>932996</v>
      </c>
      <c r="J34">
        <f>SUM(D34:D46)</f>
        <v>50316</v>
      </c>
      <c r="K34">
        <f>SUM(E34:E46)</f>
        <v>20614</v>
      </c>
      <c r="L34">
        <v>100</v>
      </c>
      <c r="M34" s="3">
        <f>J34/I34*100</f>
        <v>5.3929491659128228</v>
      </c>
      <c r="N34" s="3">
        <f>K34/I34*100</f>
        <v>2.2094414123961945</v>
      </c>
      <c r="O34" s="3">
        <f t="shared" ref="O34" si="17">K34/J34*100</f>
        <v>40.969075443198982</v>
      </c>
      <c r="P34"/>
      <c r="Q34"/>
      <c r="R34"/>
    </row>
    <row r="35" spans="1:38" x14ac:dyDescent="0.25">
      <c r="A35" s="1">
        <v>44143</v>
      </c>
      <c r="B35" t="s">
        <v>4</v>
      </c>
      <c r="C35">
        <v>69352</v>
      </c>
      <c r="D35">
        <v>3103</v>
      </c>
      <c r="E35">
        <v>1200</v>
      </c>
      <c r="F35" s="3">
        <f t="shared" si="9"/>
        <v>4.4742761564194256</v>
      </c>
      <c r="G35" s="3">
        <f t="shared" si="10"/>
        <v>1.7303033798592686</v>
      </c>
      <c r="H35" s="3">
        <f t="shared" si="11"/>
        <v>38.672252658717369</v>
      </c>
      <c r="P35"/>
      <c r="Q35"/>
      <c r="R35"/>
      <c r="AD35" s="2" t="s">
        <v>7</v>
      </c>
      <c r="AL35" s="2" t="s">
        <v>8</v>
      </c>
    </row>
    <row r="36" spans="1:38" x14ac:dyDescent="0.25">
      <c r="A36" s="1">
        <v>44150</v>
      </c>
      <c r="B36" t="s">
        <v>4</v>
      </c>
      <c r="C36">
        <v>60757</v>
      </c>
      <c r="D36">
        <v>3103</v>
      </c>
      <c r="E36">
        <v>1200</v>
      </c>
      <c r="F36" s="3">
        <f t="shared" si="9"/>
        <v>5.1072304425827477</v>
      </c>
      <c r="G36" s="3">
        <f t="shared" si="10"/>
        <v>1.9750810606185296</v>
      </c>
      <c r="H36" s="3">
        <f t="shared" si="11"/>
        <v>38.672252658717369</v>
      </c>
      <c r="P36">
        <f>SUM(C36:C39)</f>
        <v>262035</v>
      </c>
      <c r="Q36">
        <f>SUM(D36:D39)</f>
        <v>13998</v>
      </c>
      <c r="R36">
        <f>SUM(E36:E39)</f>
        <v>5446</v>
      </c>
      <c r="S36" s="3">
        <f t="shared" si="12"/>
        <v>5.3420344610452801</v>
      </c>
      <c r="T36" s="3">
        <f t="shared" si="13"/>
        <v>2.0783483122483637</v>
      </c>
      <c r="U36" s="3">
        <f t="shared" si="14"/>
        <v>38.905557936848126</v>
      </c>
      <c r="AD36" t="s">
        <v>6</v>
      </c>
      <c r="AL36" t="s">
        <v>18</v>
      </c>
    </row>
    <row r="37" spans="1:38" x14ac:dyDescent="0.25">
      <c r="A37" s="1">
        <v>44157</v>
      </c>
      <c r="B37" t="s">
        <v>4</v>
      </c>
      <c r="C37">
        <v>71480</v>
      </c>
      <c r="D37">
        <v>3172</v>
      </c>
      <c r="E37">
        <v>1130</v>
      </c>
      <c r="F37" s="3">
        <f t="shared" si="9"/>
        <v>4.4376049244543925</v>
      </c>
      <c r="G37" s="3">
        <f t="shared" si="10"/>
        <v>1.5808617795187465</v>
      </c>
      <c r="H37" s="3">
        <f t="shared" si="11"/>
        <v>35.624211853720048</v>
      </c>
      <c r="P37"/>
      <c r="Q37"/>
      <c r="R37"/>
      <c r="AD37" t="s">
        <v>10</v>
      </c>
      <c r="AL37" t="s">
        <v>19</v>
      </c>
    </row>
    <row r="38" spans="1:38" x14ac:dyDescent="0.25">
      <c r="A38" s="1">
        <v>44164</v>
      </c>
      <c r="B38" t="s">
        <v>4</v>
      </c>
      <c r="C38">
        <v>64953</v>
      </c>
      <c r="D38">
        <v>3972</v>
      </c>
      <c r="E38">
        <v>1622</v>
      </c>
      <c r="F38" s="3">
        <f t="shared" si="9"/>
        <v>6.11519098425015</v>
      </c>
      <c r="G38" s="3">
        <f t="shared" si="10"/>
        <v>2.4971902760457563</v>
      </c>
      <c r="H38" s="3">
        <f t="shared" si="11"/>
        <v>40.835850956696881</v>
      </c>
      <c r="P38"/>
      <c r="Q38"/>
      <c r="R38"/>
    </row>
    <row r="39" spans="1:38" x14ac:dyDescent="0.25">
      <c r="A39" s="1">
        <v>44171</v>
      </c>
      <c r="B39" t="s">
        <v>4</v>
      </c>
      <c r="C39">
        <v>64845</v>
      </c>
      <c r="D39">
        <v>3751</v>
      </c>
      <c r="E39">
        <v>1494</v>
      </c>
      <c r="F39" s="3">
        <f t="shared" si="9"/>
        <v>5.7845631891433413</v>
      </c>
      <c r="G39" s="3">
        <f t="shared" si="10"/>
        <v>2.3039555863983345</v>
      </c>
      <c r="H39" s="3">
        <f t="shared" si="11"/>
        <v>39.829378832311384</v>
      </c>
      <c r="P39"/>
      <c r="Q39"/>
      <c r="R39"/>
    </row>
    <row r="40" spans="1:38" x14ac:dyDescent="0.25">
      <c r="A40" s="1">
        <v>44178</v>
      </c>
      <c r="B40" t="s">
        <v>4</v>
      </c>
      <c r="C40">
        <v>61455</v>
      </c>
      <c r="D40">
        <v>3950</v>
      </c>
      <c r="E40">
        <v>1689</v>
      </c>
      <c r="F40" s="3">
        <f t="shared" si="9"/>
        <v>6.4274672524611498</v>
      </c>
      <c r="G40" s="3">
        <f t="shared" si="10"/>
        <v>2.7483524530144008</v>
      </c>
      <c r="H40" s="3">
        <f t="shared" si="11"/>
        <v>42.75949367088608</v>
      </c>
      <c r="P40">
        <f>SUM(C40:C43)</f>
        <v>275582</v>
      </c>
      <c r="Q40">
        <f>SUM(D40:D43)</f>
        <v>15137</v>
      </c>
      <c r="R40">
        <f>SUM(E40:E43)</f>
        <v>6441</v>
      </c>
      <c r="S40" s="3">
        <f t="shared" si="12"/>
        <v>5.4927390032730727</v>
      </c>
      <c r="T40" s="3">
        <f t="shared" si="13"/>
        <v>2.3372353782177355</v>
      </c>
      <c r="U40" s="3">
        <f t="shared" si="14"/>
        <v>42.551364206910222</v>
      </c>
    </row>
    <row r="41" spans="1:38" x14ac:dyDescent="0.25">
      <c r="A41" s="1">
        <v>44185</v>
      </c>
      <c r="B41" t="s">
        <v>4</v>
      </c>
      <c r="C41">
        <v>57956</v>
      </c>
      <c r="D41">
        <v>3417</v>
      </c>
      <c r="E41">
        <v>1413</v>
      </c>
      <c r="F41" s="3">
        <f t="shared" si="9"/>
        <v>5.8958520256746496</v>
      </c>
      <c r="G41" s="3">
        <f t="shared" si="10"/>
        <v>2.4380564566222653</v>
      </c>
      <c r="H41" s="3">
        <f t="shared" si="11"/>
        <v>41.352063213345041</v>
      </c>
      <c r="P41"/>
      <c r="Q41"/>
      <c r="R41"/>
    </row>
    <row r="42" spans="1:38" x14ac:dyDescent="0.25">
      <c r="A42" s="1">
        <v>44192</v>
      </c>
      <c r="B42" t="s">
        <v>4</v>
      </c>
      <c r="C42">
        <v>75931</v>
      </c>
      <c r="D42">
        <v>2537</v>
      </c>
      <c r="E42">
        <v>1094</v>
      </c>
      <c r="F42" s="3">
        <f t="shared" si="9"/>
        <v>3.3411913447735446</v>
      </c>
      <c r="G42" s="3">
        <f t="shared" si="10"/>
        <v>1.4407817623895378</v>
      </c>
      <c r="H42" s="3">
        <f t="shared" si="11"/>
        <v>43.121797398502167</v>
      </c>
      <c r="P42"/>
      <c r="Q42"/>
      <c r="R42"/>
    </row>
    <row r="43" spans="1:38" x14ac:dyDescent="0.25">
      <c r="A43" s="1">
        <v>44199</v>
      </c>
      <c r="B43" t="s">
        <v>4</v>
      </c>
      <c r="C43">
        <v>80240</v>
      </c>
      <c r="D43">
        <v>5233</v>
      </c>
      <c r="E43">
        <v>2245</v>
      </c>
      <c r="F43" s="3">
        <f t="shared" si="9"/>
        <v>6.5216849451645063</v>
      </c>
      <c r="G43" s="3">
        <f t="shared" si="10"/>
        <v>2.7978564307078764</v>
      </c>
      <c r="H43" s="3">
        <f t="shared" si="11"/>
        <v>42.900821708389067</v>
      </c>
      <c r="P43"/>
      <c r="Q43"/>
      <c r="R43"/>
    </row>
    <row r="44" spans="1:38" x14ac:dyDescent="0.25">
      <c r="A44" s="1">
        <v>44206</v>
      </c>
      <c r="B44" t="s">
        <v>4</v>
      </c>
      <c r="C44">
        <v>79683</v>
      </c>
      <c r="D44">
        <v>5571</v>
      </c>
      <c r="E44">
        <v>2301</v>
      </c>
      <c r="F44" s="3">
        <f t="shared" si="9"/>
        <v>6.9914536350288019</v>
      </c>
      <c r="G44" s="3">
        <f t="shared" si="10"/>
        <v>2.8876924814577762</v>
      </c>
      <c r="H44" s="3">
        <f t="shared" si="11"/>
        <v>41.303177167474416</v>
      </c>
      <c r="P44">
        <f>SUM(C44:C47)</f>
        <v>386563</v>
      </c>
      <c r="Q44">
        <f>SUM(D44:D47)</f>
        <v>24108</v>
      </c>
      <c r="R44">
        <f>SUM(E44:E47)</f>
        <v>10238</v>
      </c>
      <c r="S44" s="3">
        <f t="shared" si="12"/>
        <v>6.2364996132583821</v>
      </c>
      <c r="T44" s="3">
        <f t="shared" si="13"/>
        <v>2.6484686842765606</v>
      </c>
      <c r="U44" s="3">
        <f t="shared" si="14"/>
        <v>42.467230794756929</v>
      </c>
    </row>
    <row r="45" spans="1:38" x14ac:dyDescent="0.25">
      <c r="A45" s="1">
        <v>44213</v>
      </c>
      <c r="B45" t="s">
        <v>4</v>
      </c>
      <c r="C45">
        <v>75398</v>
      </c>
      <c r="D45">
        <v>5571</v>
      </c>
      <c r="E45">
        <v>2301</v>
      </c>
      <c r="F45" s="3">
        <f t="shared" si="9"/>
        <v>7.388790153584976</v>
      </c>
      <c r="G45" s="3">
        <f t="shared" si="10"/>
        <v>3.0518050876681082</v>
      </c>
      <c r="H45" s="3">
        <f t="shared" si="11"/>
        <v>41.303177167474416</v>
      </c>
      <c r="P45"/>
      <c r="Q45"/>
      <c r="R45"/>
    </row>
    <row r="46" spans="1:38" x14ac:dyDescent="0.25">
      <c r="A46" s="1">
        <v>44220</v>
      </c>
      <c r="B46" t="s">
        <v>4</v>
      </c>
      <c r="C46">
        <v>126208</v>
      </c>
      <c r="D46">
        <v>5057</v>
      </c>
      <c r="E46">
        <v>2139</v>
      </c>
      <c r="F46" s="3">
        <f t="shared" si="9"/>
        <v>4.0068775354969572</v>
      </c>
      <c r="G46" s="3">
        <f t="shared" si="10"/>
        <v>1.6948212474645028</v>
      </c>
      <c r="H46" s="3">
        <f t="shared" si="11"/>
        <v>42.297805022740754</v>
      </c>
      <c r="P46"/>
      <c r="Q46"/>
      <c r="R46"/>
    </row>
    <row r="47" spans="1:38" x14ac:dyDescent="0.25">
      <c r="A47" s="1">
        <v>44227</v>
      </c>
      <c r="B47" t="s">
        <v>4</v>
      </c>
      <c r="C47">
        <v>105274</v>
      </c>
      <c r="D47">
        <v>7909</v>
      </c>
      <c r="E47">
        <v>3497</v>
      </c>
      <c r="F47" s="3">
        <f t="shared" si="9"/>
        <v>7.5127761840530427</v>
      </c>
      <c r="G47" s="3">
        <f t="shared" si="10"/>
        <v>3.3218078537910598</v>
      </c>
      <c r="H47" s="3">
        <f t="shared" si="11"/>
        <v>44.215450752307497</v>
      </c>
      <c r="I47">
        <f>SUM(C47:C59)</f>
        <v>882969</v>
      </c>
      <c r="J47">
        <f>SUM(D47:D59)</f>
        <v>54415</v>
      </c>
      <c r="K47">
        <f>SUM(E47:E59)</f>
        <v>24374</v>
      </c>
      <c r="L47">
        <v>100</v>
      </c>
      <c r="M47" s="3">
        <f>J47/I47*100</f>
        <v>6.1627305148878389</v>
      </c>
      <c r="N47" s="3">
        <f>K47/I47*100</f>
        <v>2.7604593139736502</v>
      </c>
      <c r="O47" s="3">
        <f t="shared" ref="O47" si="18">K47/J47*100</f>
        <v>44.792796104015437</v>
      </c>
      <c r="P47"/>
      <c r="Q47"/>
      <c r="R47"/>
    </row>
    <row r="48" spans="1:38" x14ac:dyDescent="0.25">
      <c r="A48" s="1">
        <v>44234</v>
      </c>
      <c r="B48" t="s">
        <v>4</v>
      </c>
      <c r="C48">
        <v>103024</v>
      </c>
      <c r="D48">
        <v>7909</v>
      </c>
      <c r="E48">
        <v>3497</v>
      </c>
      <c r="F48" s="3">
        <f t="shared" si="9"/>
        <v>7.6768519956514982</v>
      </c>
      <c r="G48" s="3">
        <f t="shared" si="10"/>
        <v>3.3943547134648235</v>
      </c>
      <c r="H48" s="3">
        <f t="shared" si="11"/>
        <v>44.215450752307497</v>
      </c>
      <c r="P48">
        <f>SUM(C48:C51)</f>
        <v>342941</v>
      </c>
      <c r="Q48">
        <f>SUM(D48:D51)</f>
        <v>25969</v>
      </c>
      <c r="R48">
        <f>SUM(E48:E51)</f>
        <v>11945</v>
      </c>
      <c r="S48" s="3">
        <f t="shared" si="12"/>
        <v>7.5724395741541546</v>
      </c>
      <c r="T48" s="3">
        <f t="shared" si="13"/>
        <v>3.4831064235539055</v>
      </c>
      <c r="U48" s="3">
        <f t="shared" si="14"/>
        <v>45.997150448611805</v>
      </c>
    </row>
    <row r="49" spans="1:21" x14ac:dyDescent="0.25">
      <c r="A49" s="1">
        <v>44241</v>
      </c>
      <c r="B49" t="s">
        <v>4</v>
      </c>
      <c r="C49">
        <v>82405</v>
      </c>
      <c r="D49">
        <v>7103</v>
      </c>
      <c r="E49">
        <v>3310</v>
      </c>
      <c r="F49" s="3">
        <f t="shared" si="9"/>
        <v>8.6196225957162795</v>
      </c>
      <c r="G49" s="3">
        <f t="shared" si="10"/>
        <v>4.0167465566409808</v>
      </c>
      <c r="H49" s="3">
        <f t="shared" si="11"/>
        <v>46.600028157116711</v>
      </c>
      <c r="P49"/>
      <c r="Q49"/>
      <c r="R49"/>
    </row>
    <row r="50" spans="1:21" x14ac:dyDescent="0.25">
      <c r="A50" s="1">
        <v>44248</v>
      </c>
      <c r="B50" t="s">
        <v>4</v>
      </c>
      <c r="C50">
        <v>83922</v>
      </c>
      <c r="D50">
        <v>5366</v>
      </c>
      <c r="E50">
        <v>2542</v>
      </c>
      <c r="F50" s="3">
        <f t="shared" si="9"/>
        <v>6.3940325540382732</v>
      </c>
      <c r="G50" s="3">
        <f t="shared" si="10"/>
        <v>3.0290031219465696</v>
      </c>
      <c r="H50" s="3">
        <f t="shared" si="11"/>
        <v>47.37234439060753</v>
      </c>
      <c r="P50"/>
      <c r="Q50"/>
      <c r="R50"/>
    </row>
    <row r="51" spans="1:21" x14ac:dyDescent="0.25">
      <c r="A51" s="1">
        <v>44255</v>
      </c>
      <c r="B51" t="s">
        <v>4</v>
      </c>
      <c r="C51">
        <v>73590</v>
      </c>
      <c r="D51">
        <v>5591</v>
      </c>
      <c r="E51">
        <v>2596</v>
      </c>
      <c r="F51" s="3">
        <f t="shared" si="9"/>
        <v>7.5974996602799303</v>
      </c>
      <c r="G51" s="3">
        <f t="shared" si="10"/>
        <v>3.5276532137518681</v>
      </c>
      <c r="H51" s="3">
        <f t="shared" si="11"/>
        <v>46.431765337148988</v>
      </c>
      <c r="P51"/>
      <c r="Q51"/>
      <c r="R51"/>
    </row>
    <row r="52" spans="1:21" x14ac:dyDescent="0.25">
      <c r="A52" s="1">
        <v>44262</v>
      </c>
      <c r="B52" t="s">
        <v>4</v>
      </c>
      <c r="C52">
        <v>68682</v>
      </c>
      <c r="D52">
        <v>3911</v>
      </c>
      <c r="E52">
        <v>1783</v>
      </c>
      <c r="F52" s="3">
        <f t="shared" si="9"/>
        <v>5.6943595119536417</v>
      </c>
      <c r="G52" s="3">
        <f t="shared" si="10"/>
        <v>2.5960222474593051</v>
      </c>
      <c r="H52" s="3">
        <f t="shared" si="11"/>
        <v>45.589363334185627</v>
      </c>
      <c r="P52">
        <f>SUM(C52:C55)</f>
        <v>232844</v>
      </c>
      <c r="Q52">
        <f>SUM(D52:D55)</f>
        <v>12099</v>
      </c>
      <c r="R52">
        <f>SUM(E52:E55)</f>
        <v>5362</v>
      </c>
      <c r="S52" s="3">
        <f t="shared" si="12"/>
        <v>5.1961828520382749</v>
      </c>
      <c r="T52" s="3">
        <f t="shared" si="13"/>
        <v>2.3028293621480476</v>
      </c>
      <c r="U52" s="3">
        <f t="shared" si="14"/>
        <v>44.31771220762046</v>
      </c>
    </row>
    <row r="53" spans="1:21" x14ac:dyDescent="0.25">
      <c r="A53" s="1">
        <v>44269</v>
      </c>
      <c r="B53" t="s">
        <v>4</v>
      </c>
      <c r="C53">
        <v>62341</v>
      </c>
      <c r="D53">
        <v>3423</v>
      </c>
      <c r="E53">
        <v>1550</v>
      </c>
      <c r="F53" s="3">
        <f t="shared" si="9"/>
        <v>5.4907685151024204</v>
      </c>
      <c r="G53" s="3">
        <f t="shared" si="10"/>
        <v>2.4863252113376428</v>
      </c>
      <c r="H53" s="3">
        <f t="shared" si="11"/>
        <v>45.281916447560619</v>
      </c>
      <c r="P53"/>
      <c r="Q53"/>
      <c r="R53"/>
    </row>
    <row r="54" spans="1:21" x14ac:dyDescent="0.25">
      <c r="A54" s="1">
        <v>44276</v>
      </c>
      <c r="B54" t="s">
        <v>4</v>
      </c>
      <c r="C54">
        <v>51901</v>
      </c>
      <c r="D54">
        <v>2898</v>
      </c>
      <c r="E54">
        <v>1214</v>
      </c>
      <c r="F54" s="3">
        <f t="shared" si="9"/>
        <v>5.5837074430165119</v>
      </c>
      <c r="G54" s="3">
        <f t="shared" si="10"/>
        <v>2.339068611394771</v>
      </c>
      <c r="H54" s="3">
        <f t="shared" si="11"/>
        <v>41.89095928226363</v>
      </c>
      <c r="P54"/>
      <c r="Q54"/>
      <c r="R54"/>
    </row>
    <row r="55" spans="1:21" x14ac:dyDescent="0.25">
      <c r="A55" s="1">
        <v>44283</v>
      </c>
      <c r="B55" t="s">
        <v>4</v>
      </c>
      <c r="C55">
        <v>49920</v>
      </c>
      <c r="D55">
        <v>1867</v>
      </c>
      <c r="E55">
        <v>815</v>
      </c>
      <c r="F55" s="3">
        <f t="shared" si="9"/>
        <v>3.7399839743589745</v>
      </c>
      <c r="G55" s="3">
        <f t="shared" si="10"/>
        <v>1.6326121794871795</v>
      </c>
      <c r="H55" s="3">
        <f t="shared" si="11"/>
        <v>43.652919121585434</v>
      </c>
      <c r="P55"/>
      <c r="Q55"/>
      <c r="R55"/>
    </row>
    <row r="56" spans="1:21" x14ac:dyDescent="0.25">
      <c r="A56" s="1">
        <v>44290</v>
      </c>
      <c r="B56" t="s">
        <v>4</v>
      </c>
      <c r="C56">
        <v>51931</v>
      </c>
      <c r="D56">
        <v>1867</v>
      </c>
      <c r="E56">
        <v>815</v>
      </c>
      <c r="F56" s="3">
        <f t="shared" si="9"/>
        <v>3.5951551096647472</v>
      </c>
      <c r="G56" s="3">
        <f t="shared" si="10"/>
        <v>1.5693901523174982</v>
      </c>
      <c r="H56" s="3">
        <f t="shared" si="11"/>
        <v>43.652919121585434</v>
      </c>
      <c r="P56">
        <f>SUM(C56:C59)</f>
        <v>201910</v>
      </c>
      <c r="Q56">
        <f>SUM(D56:D59)</f>
        <v>8438</v>
      </c>
      <c r="R56">
        <f>SUM(E56:E59)</f>
        <v>3570</v>
      </c>
      <c r="S56" s="3">
        <f t="shared" si="12"/>
        <v>4.1790896934277653</v>
      </c>
      <c r="T56" s="3">
        <f t="shared" si="13"/>
        <v>1.7681145064632757</v>
      </c>
      <c r="U56" s="3">
        <f t="shared" si="14"/>
        <v>42.308603934581654</v>
      </c>
    </row>
    <row r="57" spans="1:21" x14ac:dyDescent="0.25">
      <c r="A57" s="1">
        <v>44297</v>
      </c>
      <c r="B57" t="s">
        <v>4</v>
      </c>
      <c r="C57">
        <v>50393</v>
      </c>
      <c r="D57">
        <v>2065</v>
      </c>
      <c r="E57">
        <v>832</v>
      </c>
      <c r="F57" s="3">
        <f t="shared" si="9"/>
        <v>4.0977913599110991</v>
      </c>
      <c r="G57" s="3">
        <f t="shared" si="10"/>
        <v>1.6510229595380312</v>
      </c>
      <c r="H57" s="3">
        <f t="shared" si="11"/>
        <v>40.290556900726394</v>
      </c>
      <c r="P57"/>
      <c r="Q57"/>
      <c r="R57"/>
    </row>
    <row r="58" spans="1:21" x14ac:dyDescent="0.25">
      <c r="A58" s="1">
        <v>44304</v>
      </c>
      <c r="B58" t="s">
        <v>4</v>
      </c>
      <c r="C58">
        <v>48578</v>
      </c>
      <c r="D58">
        <v>2361</v>
      </c>
      <c r="E58">
        <v>1032</v>
      </c>
      <c r="F58" s="3">
        <f t="shared" si="9"/>
        <v>4.8602247931162257</v>
      </c>
      <c r="G58" s="3">
        <f t="shared" si="10"/>
        <v>2.1244184610317429</v>
      </c>
      <c r="H58" s="3">
        <f t="shared" si="11"/>
        <v>43.710292249047015</v>
      </c>
      <c r="P58"/>
      <c r="Q58"/>
      <c r="R58"/>
    </row>
    <row r="59" spans="1:21" x14ac:dyDescent="0.25">
      <c r="A59" s="1">
        <v>44311</v>
      </c>
      <c r="B59" t="s">
        <v>4</v>
      </c>
      <c r="C59">
        <v>51008</v>
      </c>
      <c r="D59">
        <v>2145</v>
      </c>
      <c r="E59">
        <v>891</v>
      </c>
      <c r="F59" s="3">
        <f t="shared" si="9"/>
        <v>4.2052227101631114</v>
      </c>
      <c r="G59" s="3">
        <f t="shared" si="10"/>
        <v>1.7467848180677541</v>
      </c>
      <c r="H59" s="3">
        <f t="shared" si="11"/>
        <v>41.53846153846154</v>
      </c>
      <c r="P59"/>
      <c r="Q59"/>
      <c r="R59"/>
    </row>
    <row r="60" spans="1:21" x14ac:dyDescent="0.25">
      <c r="A60" s="1">
        <v>44318</v>
      </c>
      <c r="B60" t="s">
        <v>4</v>
      </c>
      <c r="C60">
        <v>54528</v>
      </c>
      <c r="D60">
        <v>2225</v>
      </c>
      <c r="E60">
        <v>939</v>
      </c>
      <c r="F60" s="3">
        <f t="shared" si="9"/>
        <v>4.080472417840376</v>
      </c>
      <c r="G60" s="3">
        <f t="shared" si="10"/>
        <v>1.722051056338028</v>
      </c>
      <c r="H60" s="3">
        <f t="shared" si="11"/>
        <v>42.202247191011239</v>
      </c>
      <c r="I60">
        <f>SUM(C60:C72)</f>
        <v>583978</v>
      </c>
      <c r="J60">
        <f>SUM(D60:D72)</f>
        <v>22952</v>
      </c>
      <c r="K60">
        <f>SUM(E60:E72)</f>
        <v>10079</v>
      </c>
      <c r="L60">
        <v>100</v>
      </c>
      <c r="M60" s="3">
        <f>J60/I60*100</f>
        <v>3.9302850449845717</v>
      </c>
      <c r="N60" s="3">
        <f>K60/I60*100</f>
        <v>1.7259211819623341</v>
      </c>
      <c r="O60" s="3">
        <f t="shared" ref="O60" si="19">K60/J60*100</f>
        <v>43.913384454513768</v>
      </c>
      <c r="P60">
        <f>SUM(C60:C63)</f>
        <v>196669</v>
      </c>
      <c r="Q60">
        <f>SUM(D60:D63)</f>
        <v>8391</v>
      </c>
      <c r="R60">
        <f>SUM(E60:E63)</f>
        <v>3584</v>
      </c>
      <c r="S60" s="3">
        <f t="shared" si="12"/>
        <v>4.2665595492934836</v>
      </c>
      <c r="T60" s="3">
        <f t="shared" si="13"/>
        <v>1.8223512602392851</v>
      </c>
      <c r="U60" s="3">
        <f t="shared" si="14"/>
        <v>42.71242998450721</v>
      </c>
    </row>
    <row r="61" spans="1:21" x14ac:dyDescent="0.25">
      <c r="A61" s="1">
        <v>44325</v>
      </c>
      <c r="B61" t="s">
        <v>4</v>
      </c>
      <c r="C61">
        <v>49673</v>
      </c>
      <c r="D61">
        <v>2305</v>
      </c>
      <c r="E61">
        <v>982</v>
      </c>
      <c r="F61" s="3">
        <f t="shared" si="9"/>
        <v>4.640347875103175</v>
      </c>
      <c r="G61" s="3">
        <f t="shared" si="10"/>
        <v>1.976929116421396</v>
      </c>
      <c r="H61" s="3">
        <f t="shared" si="11"/>
        <v>42.603036876355752</v>
      </c>
      <c r="P61"/>
      <c r="Q61"/>
      <c r="R61"/>
    </row>
    <row r="62" spans="1:21" x14ac:dyDescent="0.25">
      <c r="A62" s="1">
        <v>44332</v>
      </c>
      <c r="B62" t="s">
        <v>4</v>
      </c>
      <c r="C62">
        <v>46197</v>
      </c>
      <c r="D62">
        <v>2060</v>
      </c>
      <c r="E62">
        <v>887</v>
      </c>
      <c r="F62" s="3">
        <f t="shared" si="9"/>
        <v>4.4591640149793275</v>
      </c>
      <c r="G62" s="3">
        <f t="shared" si="10"/>
        <v>1.9200380977119724</v>
      </c>
      <c r="H62" s="3">
        <f t="shared" si="11"/>
        <v>43.05825242718447</v>
      </c>
      <c r="P62"/>
      <c r="Q62"/>
      <c r="R62"/>
    </row>
    <row r="63" spans="1:21" x14ac:dyDescent="0.25">
      <c r="A63" s="1">
        <v>44339</v>
      </c>
      <c r="B63" t="s">
        <v>4</v>
      </c>
      <c r="C63">
        <v>46271</v>
      </c>
      <c r="D63">
        <v>1801</v>
      </c>
      <c r="E63">
        <v>776</v>
      </c>
      <c r="F63" s="3">
        <f t="shared" si="9"/>
        <v>3.8922867454777292</v>
      </c>
      <c r="G63" s="3">
        <f t="shared" si="10"/>
        <v>1.6770763545201097</v>
      </c>
      <c r="H63" s="3">
        <f t="shared" si="11"/>
        <v>43.087173792337587</v>
      </c>
      <c r="P63"/>
      <c r="Q63"/>
      <c r="R63"/>
    </row>
    <row r="64" spans="1:21" x14ac:dyDescent="0.25">
      <c r="A64" s="1">
        <v>44346</v>
      </c>
      <c r="B64" t="s">
        <v>4</v>
      </c>
      <c r="C64">
        <v>48659</v>
      </c>
      <c r="D64">
        <v>1804</v>
      </c>
      <c r="E64">
        <v>856</v>
      </c>
      <c r="F64" s="3">
        <f t="shared" si="9"/>
        <v>3.7074333627900287</v>
      </c>
      <c r="G64" s="3">
        <f t="shared" si="10"/>
        <v>1.7591812408804128</v>
      </c>
      <c r="H64" s="3">
        <f t="shared" si="11"/>
        <v>47.450110864745007</v>
      </c>
      <c r="P64">
        <f>SUM(C64:C67)</f>
        <v>183088</v>
      </c>
      <c r="Q64">
        <f>SUM(D64:D67)</f>
        <v>7684</v>
      </c>
      <c r="R64">
        <f>SUM(E64:E67)</f>
        <v>3498</v>
      </c>
      <c r="S64" s="3">
        <f t="shared" si="12"/>
        <v>4.1968889277287422</v>
      </c>
      <c r="T64" s="3">
        <f t="shared" si="13"/>
        <v>1.9105566722013456</v>
      </c>
      <c r="U64" s="3">
        <f t="shared" si="14"/>
        <v>45.523165018219672</v>
      </c>
    </row>
    <row r="65" spans="1:28" x14ac:dyDescent="0.25">
      <c r="A65" s="1">
        <v>44353</v>
      </c>
      <c r="B65" t="s">
        <v>4</v>
      </c>
      <c r="C65">
        <v>47316</v>
      </c>
      <c r="D65">
        <v>2126</v>
      </c>
      <c r="E65">
        <v>986</v>
      </c>
      <c r="F65" s="3">
        <f t="shared" si="9"/>
        <v>4.4931946910136107</v>
      </c>
      <c r="G65" s="3">
        <f t="shared" si="10"/>
        <v>2.0838616958322764</v>
      </c>
      <c r="H65" s="3">
        <f t="shared" si="11"/>
        <v>46.37817497648166</v>
      </c>
      <c r="P65"/>
      <c r="Q65"/>
      <c r="R65"/>
    </row>
    <row r="66" spans="1:28" x14ac:dyDescent="0.25">
      <c r="A66" s="1">
        <v>44360</v>
      </c>
      <c r="B66" t="s">
        <v>4</v>
      </c>
      <c r="C66">
        <v>44110</v>
      </c>
      <c r="D66">
        <v>1988</v>
      </c>
      <c r="E66">
        <v>954</v>
      </c>
      <c r="F66" s="3">
        <f t="shared" si="9"/>
        <v>4.5069145318521882</v>
      </c>
      <c r="G66" s="3">
        <f t="shared" si="10"/>
        <v>2.1627748809793697</v>
      </c>
      <c r="H66" s="3">
        <f t="shared" si="11"/>
        <v>47.987927565392354</v>
      </c>
      <c r="P66"/>
      <c r="Q66"/>
      <c r="R66"/>
    </row>
    <row r="67" spans="1:28" x14ac:dyDescent="0.25">
      <c r="A67" s="1">
        <v>44367</v>
      </c>
      <c r="B67" t="s">
        <v>4</v>
      </c>
      <c r="C67">
        <v>43003</v>
      </c>
      <c r="D67">
        <v>1766</v>
      </c>
      <c r="E67">
        <v>702</v>
      </c>
      <c r="F67" s="3">
        <f t="shared" si="9"/>
        <v>4.106690230914122</v>
      </c>
      <c r="G67" s="3">
        <f t="shared" si="10"/>
        <v>1.6324442480757158</v>
      </c>
      <c r="H67" s="3">
        <f t="shared" si="11"/>
        <v>39.750849377123444</v>
      </c>
      <c r="P67"/>
      <c r="Q67"/>
      <c r="R67"/>
    </row>
    <row r="68" spans="1:28" x14ac:dyDescent="0.25">
      <c r="A68" s="1">
        <v>44374</v>
      </c>
      <c r="B68" t="s">
        <v>4</v>
      </c>
      <c r="C68">
        <v>44744</v>
      </c>
      <c r="D68">
        <v>1501</v>
      </c>
      <c r="E68">
        <v>662</v>
      </c>
      <c r="F68" s="3">
        <f t="shared" si="9"/>
        <v>3.3546397282317182</v>
      </c>
      <c r="G68" s="3">
        <f t="shared" si="10"/>
        <v>1.4795279814053282</v>
      </c>
      <c r="H68" s="3">
        <f t="shared" si="11"/>
        <v>44.103930712858094</v>
      </c>
      <c r="P68">
        <f>SUM(C68:C71)</f>
        <v>165963</v>
      </c>
      <c r="Q68">
        <f>SUM(D68:D71)</f>
        <v>5616</v>
      </c>
      <c r="R68">
        <f>SUM(E68:E71)</f>
        <v>2471</v>
      </c>
      <c r="S68" s="3">
        <f t="shared" si="12"/>
        <v>3.3838867699426984</v>
      </c>
      <c r="T68" s="3">
        <f t="shared" si="13"/>
        <v>1.4888860770171664</v>
      </c>
      <c r="U68" s="3">
        <f t="shared" si="14"/>
        <v>43.999287749287745</v>
      </c>
    </row>
    <row r="69" spans="1:28" x14ac:dyDescent="0.25">
      <c r="A69" s="1">
        <v>44381</v>
      </c>
      <c r="B69" t="s">
        <v>4</v>
      </c>
      <c r="C69">
        <v>42146</v>
      </c>
      <c r="D69">
        <v>1295</v>
      </c>
      <c r="E69">
        <v>584</v>
      </c>
      <c r="F69" s="3">
        <f t="shared" si="9"/>
        <v>3.0726522089878041</v>
      </c>
      <c r="G69" s="3">
        <f t="shared" si="10"/>
        <v>1.3856593745551178</v>
      </c>
      <c r="H69" s="3">
        <f t="shared" si="11"/>
        <v>45.096525096525099</v>
      </c>
      <c r="P69"/>
      <c r="Q69"/>
      <c r="R69"/>
    </row>
    <row r="70" spans="1:28" x14ac:dyDescent="0.25">
      <c r="A70" s="1">
        <v>44388</v>
      </c>
      <c r="B70" t="s">
        <v>4</v>
      </c>
      <c r="C70">
        <v>38504</v>
      </c>
      <c r="D70">
        <v>1405</v>
      </c>
      <c r="E70">
        <v>610</v>
      </c>
      <c r="F70" s="3">
        <f t="shared" si="9"/>
        <v>3.6489715354248906</v>
      </c>
      <c r="G70" s="3">
        <f t="shared" si="10"/>
        <v>1.5842509869104509</v>
      </c>
      <c r="H70" s="3">
        <f t="shared" si="11"/>
        <v>43.416370106761562</v>
      </c>
      <c r="P70"/>
      <c r="Q70"/>
      <c r="R70"/>
    </row>
    <row r="71" spans="1:28" x14ac:dyDescent="0.25">
      <c r="A71" s="1">
        <v>44395</v>
      </c>
      <c r="B71" t="s">
        <v>4</v>
      </c>
      <c r="C71">
        <v>40569</v>
      </c>
      <c r="D71">
        <v>1415</v>
      </c>
      <c r="E71">
        <v>615</v>
      </c>
      <c r="F71" s="3">
        <f t="shared" si="9"/>
        <v>3.487884838176933</v>
      </c>
      <c r="G71" s="3">
        <f t="shared" si="10"/>
        <v>1.5159358130592324</v>
      </c>
      <c r="H71" s="3">
        <f t="shared" si="11"/>
        <v>43.462897526501763</v>
      </c>
      <c r="P71"/>
      <c r="Q71"/>
      <c r="R71"/>
    </row>
    <row r="72" spans="1:28" x14ac:dyDescent="0.25">
      <c r="A72" s="1">
        <v>44402</v>
      </c>
      <c r="B72" t="s">
        <v>4</v>
      </c>
      <c r="C72">
        <v>38258</v>
      </c>
      <c r="D72">
        <v>1261</v>
      </c>
      <c r="E72">
        <v>526</v>
      </c>
      <c r="F72" s="3">
        <f t="shared" si="9"/>
        <v>3.2960426577447857</v>
      </c>
      <c r="G72" s="3">
        <f t="shared" si="10"/>
        <v>1.3748758429609493</v>
      </c>
      <c r="H72" s="3">
        <f t="shared" si="11"/>
        <v>41.712926249008724</v>
      </c>
      <c r="P72">
        <f>SUM(C72:C75)</f>
        <v>154413</v>
      </c>
      <c r="Q72">
        <f>SUM(D72:D75)</f>
        <v>5009</v>
      </c>
      <c r="R72">
        <f>SUM(E72:E75)</f>
        <v>2127</v>
      </c>
      <c r="S72" s="3">
        <f t="shared" si="12"/>
        <v>3.2438978583409424</v>
      </c>
      <c r="T72" s="3">
        <f t="shared" si="13"/>
        <v>1.3774746944881584</v>
      </c>
      <c r="U72" s="3">
        <f t="shared" si="14"/>
        <v>42.463565581952487</v>
      </c>
      <c r="V72">
        <f>SUM(C72:C116)</f>
        <v>2089582</v>
      </c>
      <c r="W72">
        <f>SUM(D72:D116)</f>
        <v>70781</v>
      </c>
      <c r="X72">
        <f>SUM(E72:E116)</f>
        <v>29820</v>
      </c>
      <c r="Y72">
        <v>100</v>
      </c>
      <c r="Z72" s="3">
        <f>W72/V72*100</f>
        <v>3.3873281833400175</v>
      </c>
      <c r="AA72" s="3">
        <f>X72/V72*100</f>
        <v>1.4270796743080674</v>
      </c>
      <c r="AB72" s="3">
        <f t="shared" ref="AB72" si="20">X72/W72*100</f>
        <v>42.129950127859175</v>
      </c>
    </row>
    <row r="73" spans="1:28" x14ac:dyDescent="0.25">
      <c r="A73" s="1">
        <v>44409</v>
      </c>
      <c r="B73" t="s">
        <v>4</v>
      </c>
      <c r="C73">
        <v>39278</v>
      </c>
      <c r="D73">
        <v>1247</v>
      </c>
      <c r="E73">
        <v>533</v>
      </c>
      <c r="F73" s="3">
        <f t="shared" ref="F73:F136" si="21">D73/C73*100</f>
        <v>3.1748052344824078</v>
      </c>
      <c r="G73" s="3">
        <f t="shared" ref="G73:G136" si="22">E73/C73*100</f>
        <v>1.3569937369519833</v>
      </c>
      <c r="H73" s="3">
        <f t="shared" ref="H73:H136" si="23">E73/D73*100</f>
        <v>42.742582197273457</v>
      </c>
      <c r="I73">
        <f>SUM(C73:C85)</f>
        <v>566261</v>
      </c>
      <c r="J73">
        <f>SUM(D73:D85)</f>
        <v>17551</v>
      </c>
      <c r="K73">
        <f>SUM(E73:E85)</f>
        <v>7519</v>
      </c>
      <c r="L73">
        <v>100</v>
      </c>
      <c r="M73" s="3">
        <f>J73/I73*100</f>
        <v>3.0994541386392496</v>
      </c>
      <c r="N73" s="3">
        <f>K73/I73*100</f>
        <v>1.3278329250999099</v>
      </c>
      <c r="O73" s="3">
        <f t="shared" ref="O73" si="24">K73/J73*100</f>
        <v>42.840863768446241</v>
      </c>
      <c r="P73"/>
      <c r="Q73"/>
      <c r="R73"/>
    </row>
    <row r="74" spans="1:28" x14ac:dyDescent="0.25">
      <c r="A74" s="1">
        <v>44416</v>
      </c>
      <c r="B74" t="s">
        <v>4</v>
      </c>
      <c r="C74">
        <v>40434</v>
      </c>
      <c r="D74">
        <v>1168</v>
      </c>
      <c r="E74">
        <v>512</v>
      </c>
      <c r="F74" s="3">
        <f t="shared" si="21"/>
        <v>2.8886580600484741</v>
      </c>
      <c r="G74" s="3">
        <f t="shared" si="22"/>
        <v>1.2662610674185091</v>
      </c>
      <c r="H74" s="3">
        <f t="shared" si="23"/>
        <v>43.835616438356162</v>
      </c>
      <c r="P74"/>
      <c r="Q74"/>
      <c r="R74"/>
    </row>
    <row r="75" spans="1:28" x14ac:dyDescent="0.25">
      <c r="A75" s="1">
        <v>44423</v>
      </c>
      <c r="B75" t="s">
        <v>4</v>
      </c>
      <c r="C75">
        <v>36443</v>
      </c>
      <c r="D75">
        <v>1333</v>
      </c>
      <c r="E75">
        <v>556</v>
      </c>
      <c r="F75" s="3">
        <f t="shared" si="21"/>
        <v>3.6577669236890484</v>
      </c>
      <c r="G75" s="3">
        <f t="shared" si="22"/>
        <v>1.5256702247345169</v>
      </c>
      <c r="H75" s="3">
        <f t="shared" si="23"/>
        <v>41.710427606901725</v>
      </c>
      <c r="P75"/>
      <c r="Q75"/>
      <c r="R75"/>
    </row>
    <row r="76" spans="1:28" x14ac:dyDescent="0.25">
      <c r="A76" s="1">
        <v>44430</v>
      </c>
      <c r="B76" t="s">
        <v>4</v>
      </c>
      <c r="C76">
        <v>44109</v>
      </c>
      <c r="D76">
        <v>1307</v>
      </c>
      <c r="E76">
        <v>565</v>
      </c>
      <c r="F76" s="3">
        <f t="shared" si="21"/>
        <v>2.963114103697658</v>
      </c>
      <c r="G76" s="3">
        <f t="shared" si="22"/>
        <v>1.2809177265410687</v>
      </c>
      <c r="H76" s="3">
        <f t="shared" si="23"/>
        <v>43.22876817138485</v>
      </c>
      <c r="P76">
        <f>SUM(C76:C79)</f>
        <v>174195</v>
      </c>
      <c r="Q76">
        <f>SUM(D76:D79)</f>
        <v>5138</v>
      </c>
      <c r="R76">
        <f>SUM(E76:E79)</f>
        <v>2244</v>
      </c>
      <c r="S76" s="3">
        <f t="shared" ref="S76:S135" si="25">Q76/P76*100</f>
        <v>2.9495680128591522</v>
      </c>
      <c r="T76" s="3">
        <f t="shared" ref="T76:T135" si="26">R76/P76*100</f>
        <v>1.288211487126496</v>
      </c>
      <c r="U76" s="3">
        <f t="shared" ref="U76:U135" si="27">R76/Q76*100</f>
        <v>43.674581549240948</v>
      </c>
    </row>
    <row r="77" spans="1:28" x14ac:dyDescent="0.25">
      <c r="A77" s="1">
        <v>44437</v>
      </c>
      <c r="B77" t="s">
        <v>4</v>
      </c>
      <c r="C77">
        <v>48013</v>
      </c>
      <c r="D77">
        <v>1307</v>
      </c>
      <c r="E77">
        <v>565</v>
      </c>
      <c r="F77" s="3">
        <f t="shared" si="21"/>
        <v>2.7221794097431946</v>
      </c>
      <c r="G77" s="3">
        <f t="shared" si="22"/>
        <v>1.1767646262470581</v>
      </c>
      <c r="H77" s="3">
        <f t="shared" si="23"/>
        <v>43.22876817138485</v>
      </c>
      <c r="P77"/>
      <c r="Q77"/>
      <c r="R77"/>
    </row>
    <row r="78" spans="1:28" x14ac:dyDescent="0.25">
      <c r="A78" s="1">
        <v>44444</v>
      </c>
      <c r="B78" t="s">
        <v>4</v>
      </c>
      <c r="C78">
        <v>41349</v>
      </c>
      <c r="D78">
        <v>1367</v>
      </c>
      <c r="E78">
        <v>587</v>
      </c>
      <c r="F78" s="3">
        <f t="shared" si="21"/>
        <v>3.3060049819826354</v>
      </c>
      <c r="G78" s="3">
        <f t="shared" si="22"/>
        <v>1.4196232073327046</v>
      </c>
      <c r="H78" s="3">
        <f t="shared" si="23"/>
        <v>42.940746159473299</v>
      </c>
      <c r="P78"/>
      <c r="Q78"/>
      <c r="R78"/>
    </row>
    <row r="79" spans="1:28" x14ac:dyDescent="0.25">
      <c r="A79" s="1">
        <v>44451</v>
      </c>
      <c r="B79" t="s">
        <v>4</v>
      </c>
      <c r="C79">
        <v>40724</v>
      </c>
      <c r="D79">
        <v>1157</v>
      </c>
      <c r="E79">
        <v>527</v>
      </c>
      <c r="F79" s="3">
        <f t="shared" si="21"/>
        <v>2.8410765150771042</v>
      </c>
      <c r="G79" s="3">
        <f t="shared" si="22"/>
        <v>1.2940772026323544</v>
      </c>
      <c r="H79" s="3">
        <f t="shared" si="23"/>
        <v>45.548833189282625</v>
      </c>
      <c r="P79"/>
      <c r="Q79"/>
      <c r="R79"/>
    </row>
    <row r="80" spans="1:28" x14ac:dyDescent="0.25">
      <c r="A80" s="1">
        <v>44458</v>
      </c>
      <c r="B80" t="s">
        <v>4</v>
      </c>
      <c r="C80">
        <v>43043</v>
      </c>
      <c r="D80">
        <v>1377</v>
      </c>
      <c r="E80">
        <v>599</v>
      </c>
      <c r="F80" s="3">
        <f t="shared" si="21"/>
        <v>3.1991264549404081</v>
      </c>
      <c r="G80" s="3">
        <f t="shared" si="22"/>
        <v>1.3916316241897637</v>
      </c>
      <c r="H80" s="3">
        <f t="shared" si="23"/>
        <v>43.500363108206244</v>
      </c>
      <c r="P80">
        <f>SUM(C80:C83)</f>
        <v>178640</v>
      </c>
      <c r="Q80">
        <f>SUM(D80:D83)</f>
        <v>5519</v>
      </c>
      <c r="R80">
        <f>SUM(E80:E83)</f>
        <v>2297</v>
      </c>
      <c r="S80" s="3">
        <f t="shared" si="25"/>
        <v>3.0894536497984775</v>
      </c>
      <c r="T80" s="3">
        <f t="shared" si="26"/>
        <v>1.2858262427227944</v>
      </c>
      <c r="U80" s="3">
        <f t="shared" si="27"/>
        <v>41.61985867004892</v>
      </c>
    </row>
    <row r="81" spans="1:21" x14ac:dyDescent="0.25">
      <c r="A81" s="1">
        <v>44465</v>
      </c>
      <c r="B81" t="s">
        <v>4</v>
      </c>
      <c r="C81">
        <v>43792</v>
      </c>
      <c r="D81">
        <v>1381</v>
      </c>
      <c r="E81">
        <v>563</v>
      </c>
      <c r="F81" s="3">
        <f t="shared" si="21"/>
        <v>3.1535440263061743</v>
      </c>
      <c r="G81" s="3">
        <f t="shared" si="22"/>
        <v>1.285622944830106</v>
      </c>
      <c r="H81" s="3">
        <f t="shared" si="23"/>
        <v>40.767559739319331</v>
      </c>
      <c r="P81"/>
      <c r="Q81"/>
      <c r="R81"/>
    </row>
    <row r="82" spans="1:21" x14ac:dyDescent="0.25">
      <c r="A82" s="1">
        <v>44472</v>
      </c>
      <c r="B82" t="s">
        <v>4</v>
      </c>
      <c r="C82">
        <v>47393</v>
      </c>
      <c r="D82">
        <v>1381</v>
      </c>
      <c r="E82">
        <v>563</v>
      </c>
      <c r="F82" s="3">
        <f t="shared" si="21"/>
        <v>2.913932437279767</v>
      </c>
      <c r="G82" s="3">
        <f t="shared" si="22"/>
        <v>1.1879391471314329</v>
      </c>
      <c r="H82" s="3">
        <f t="shared" si="23"/>
        <v>40.767559739319331</v>
      </c>
      <c r="P82"/>
      <c r="Q82"/>
      <c r="R82"/>
    </row>
    <row r="83" spans="1:21" x14ac:dyDescent="0.25">
      <c r="A83" s="1">
        <v>44479</v>
      </c>
      <c r="B83" t="s">
        <v>4</v>
      </c>
      <c r="C83">
        <v>44412</v>
      </c>
      <c r="D83">
        <v>1380</v>
      </c>
      <c r="E83">
        <v>572</v>
      </c>
      <c r="F83" s="3">
        <f t="shared" si="21"/>
        <v>3.10726830586328</v>
      </c>
      <c r="G83" s="3">
        <f t="shared" si="22"/>
        <v>1.2879401963433306</v>
      </c>
      <c r="H83" s="3">
        <f t="shared" si="23"/>
        <v>41.449275362318836</v>
      </c>
      <c r="P83"/>
      <c r="Q83"/>
      <c r="R83"/>
    </row>
    <row r="84" spans="1:21" x14ac:dyDescent="0.25">
      <c r="A84" s="1">
        <v>44486</v>
      </c>
      <c r="B84" t="s">
        <v>4</v>
      </c>
      <c r="C84">
        <v>49472</v>
      </c>
      <c r="D84">
        <v>1242</v>
      </c>
      <c r="E84">
        <v>543</v>
      </c>
      <c r="F84" s="3">
        <f t="shared" si="21"/>
        <v>2.5105109961190171</v>
      </c>
      <c r="G84" s="3">
        <f t="shared" si="22"/>
        <v>1.0975905562742563</v>
      </c>
      <c r="H84" s="3">
        <f t="shared" si="23"/>
        <v>43.719806763285021</v>
      </c>
      <c r="P84">
        <f>SUM(C84:C87)</f>
        <v>196794</v>
      </c>
      <c r="Q84">
        <f>SUM(D84:D87)</f>
        <v>6921</v>
      </c>
      <c r="R84">
        <f>SUM(E84:E87)</f>
        <v>2985</v>
      </c>
      <c r="S84" s="3">
        <f t="shared" si="25"/>
        <v>3.5168755144973933</v>
      </c>
      <c r="T84" s="3">
        <f t="shared" si="26"/>
        <v>1.5168145370285679</v>
      </c>
      <c r="U84" s="3">
        <f t="shared" si="27"/>
        <v>43.12960554833117</v>
      </c>
    </row>
    <row r="85" spans="1:21" x14ac:dyDescent="0.25">
      <c r="A85" s="1">
        <v>44493</v>
      </c>
      <c r="B85" t="s">
        <v>4</v>
      </c>
      <c r="C85">
        <v>47799</v>
      </c>
      <c r="D85">
        <v>1904</v>
      </c>
      <c r="E85">
        <v>834</v>
      </c>
      <c r="F85" s="3">
        <f t="shared" si="21"/>
        <v>3.9833469319441832</v>
      </c>
      <c r="G85" s="3">
        <f t="shared" si="22"/>
        <v>1.7448063767024415</v>
      </c>
      <c r="H85" s="3">
        <f t="shared" si="23"/>
        <v>43.80252100840336</v>
      </c>
      <c r="P85"/>
      <c r="Q85"/>
      <c r="R85"/>
    </row>
    <row r="86" spans="1:21" x14ac:dyDescent="0.25">
      <c r="A86" s="1">
        <v>44500</v>
      </c>
      <c r="B86" t="s">
        <v>4</v>
      </c>
      <c r="C86">
        <v>48069</v>
      </c>
      <c r="D86">
        <v>1796</v>
      </c>
      <c r="E86">
        <v>772</v>
      </c>
      <c r="F86" s="3">
        <f t="shared" si="21"/>
        <v>3.7362957415382057</v>
      </c>
      <c r="G86" s="3">
        <f t="shared" si="22"/>
        <v>1.6060246728660883</v>
      </c>
      <c r="H86" s="3">
        <f t="shared" si="23"/>
        <v>42.98440979955457</v>
      </c>
      <c r="I86">
        <f>SUM(C86:C98)</f>
        <v>672525</v>
      </c>
      <c r="J86">
        <f>SUM(D86:D98)</f>
        <v>22513</v>
      </c>
      <c r="K86">
        <f>SUM(E86:E98)</f>
        <v>9716</v>
      </c>
      <c r="L86">
        <v>100</v>
      </c>
      <c r="M86" s="3">
        <f>J86/I86*100</f>
        <v>3.347533548938701</v>
      </c>
      <c r="N86" s="3">
        <f>K86/I86*100</f>
        <v>1.4447046578194118</v>
      </c>
      <c r="O86" s="3">
        <f t="shared" ref="O86" si="28">K86/J86*100</f>
        <v>43.157286900901703</v>
      </c>
      <c r="P86"/>
      <c r="Q86"/>
      <c r="R86"/>
    </row>
    <row r="87" spans="1:21" x14ac:dyDescent="0.25">
      <c r="A87" s="1">
        <v>44507</v>
      </c>
      <c r="B87" t="s">
        <v>4</v>
      </c>
      <c r="C87">
        <v>51454</v>
      </c>
      <c r="D87">
        <v>1979</v>
      </c>
      <c r="E87">
        <v>836</v>
      </c>
      <c r="F87" s="3">
        <f t="shared" si="21"/>
        <v>3.8461538461538463</v>
      </c>
      <c r="G87" s="3">
        <f t="shared" si="22"/>
        <v>1.6247522058537724</v>
      </c>
      <c r="H87" s="3">
        <f t="shared" si="23"/>
        <v>42.243557352198081</v>
      </c>
      <c r="P87"/>
      <c r="Q87"/>
      <c r="R87"/>
    </row>
    <row r="88" spans="1:21" x14ac:dyDescent="0.25">
      <c r="A88" s="1">
        <v>44514</v>
      </c>
      <c r="B88" t="s">
        <v>4</v>
      </c>
      <c r="C88">
        <v>45737</v>
      </c>
      <c r="D88">
        <v>1891</v>
      </c>
      <c r="E88">
        <v>822</v>
      </c>
      <c r="F88" s="3">
        <f t="shared" si="21"/>
        <v>4.1345081662548928</v>
      </c>
      <c r="G88" s="3">
        <f t="shared" si="22"/>
        <v>1.7972320003498261</v>
      </c>
      <c r="H88" s="3">
        <f t="shared" si="23"/>
        <v>43.469063987308303</v>
      </c>
      <c r="P88">
        <f>SUM(C88:C91)</f>
        <v>175184</v>
      </c>
      <c r="Q88">
        <f>SUM(D88:D91)</f>
        <v>7128</v>
      </c>
      <c r="R88">
        <f>SUM(E88:E91)</f>
        <v>3058</v>
      </c>
      <c r="S88" s="3">
        <f t="shared" si="25"/>
        <v>4.068864736505617</v>
      </c>
      <c r="T88" s="3">
        <f t="shared" si="26"/>
        <v>1.7455932048588911</v>
      </c>
      <c r="U88" s="3">
        <f t="shared" si="27"/>
        <v>42.901234567901234</v>
      </c>
    </row>
    <row r="89" spans="1:21" x14ac:dyDescent="0.25">
      <c r="A89" s="1">
        <v>44521</v>
      </c>
      <c r="B89" t="s">
        <v>4</v>
      </c>
      <c r="C89">
        <v>45183</v>
      </c>
      <c r="D89">
        <v>1772</v>
      </c>
      <c r="E89">
        <v>749</v>
      </c>
      <c r="F89" s="3">
        <f t="shared" si="21"/>
        <v>3.9218290064847401</v>
      </c>
      <c r="G89" s="3">
        <f t="shared" si="22"/>
        <v>1.6577031184294977</v>
      </c>
      <c r="H89" s="3">
        <f t="shared" si="23"/>
        <v>42.268623024830696</v>
      </c>
      <c r="P89"/>
      <c r="Q89"/>
      <c r="R89"/>
    </row>
    <row r="90" spans="1:21" x14ac:dyDescent="0.25">
      <c r="A90" s="1">
        <v>44528</v>
      </c>
      <c r="B90" t="s">
        <v>4</v>
      </c>
      <c r="C90">
        <v>42499</v>
      </c>
      <c r="D90">
        <v>1784</v>
      </c>
      <c r="E90">
        <v>746</v>
      </c>
      <c r="F90" s="3">
        <f t="shared" si="21"/>
        <v>4.1977458293136305</v>
      </c>
      <c r="G90" s="3">
        <f t="shared" si="22"/>
        <v>1.7553354196569331</v>
      </c>
      <c r="H90" s="3">
        <f t="shared" si="23"/>
        <v>41.816143497757849</v>
      </c>
      <c r="P90"/>
      <c r="Q90"/>
      <c r="R90"/>
    </row>
    <row r="91" spans="1:21" x14ac:dyDescent="0.25">
      <c r="A91" s="1">
        <v>44535</v>
      </c>
      <c r="B91" t="s">
        <v>4</v>
      </c>
      <c r="C91">
        <v>41765</v>
      </c>
      <c r="D91">
        <v>1681</v>
      </c>
      <c r="E91">
        <v>741</v>
      </c>
      <c r="F91" s="3">
        <f t="shared" si="21"/>
        <v>4.0249012330899081</v>
      </c>
      <c r="G91" s="3">
        <f t="shared" si="22"/>
        <v>1.774212857655932</v>
      </c>
      <c r="H91" s="3">
        <f t="shared" si="23"/>
        <v>44.080904223676384</v>
      </c>
      <c r="P91"/>
      <c r="Q91"/>
      <c r="R91"/>
    </row>
    <row r="92" spans="1:21" x14ac:dyDescent="0.25">
      <c r="A92" s="1">
        <v>44542</v>
      </c>
      <c r="B92" t="s">
        <v>4</v>
      </c>
      <c r="C92">
        <v>67016</v>
      </c>
      <c r="D92">
        <v>1480</v>
      </c>
      <c r="E92">
        <v>623</v>
      </c>
      <c r="F92" s="3">
        <f t="shared" si="21"/>
        <v>2.2084278381282081</v>
      </c>
      <c r="G92" s="3">
        <f t="shared" si="22"/>
        <v>0.9296287453742389</v>
      </c>
      <c r="H92" s="3">
        <f t="shared" si="23"/>
        <v>42.094594594594589</v>
      </c>
      <c r="P92">
        <f>SUM(C92:C95)</f>
        <v>208920</v>
      </c>
      <c r="Q92">
        <f>SUM(D92:D95)</f>
        <v>5771</v>
      </c>
      <c r="R92">
        <f>SUM(E92:E95)</f>
        <v>2429</v>
      </c>
      <c r="S92" s="3">
        <f t="shared" si="25"/>
        <v>2.7623013593720085</v>
      </c>
      <c r="T92" s="3">
        <f t="shared" si="26"/>
        <v>1.1626459888952709</v>
      </c>
      <c r="U92" s="3">
        <f t="shared" si="27"/>
        <v>42.089759140530234</v>
      </c>
    </row>
    <row r="93" spans="1:21" x14ac:dyDescent="0.25">
      <c r="A93" s="1">
        <v>44549</v>
      </c>
      <c r="B93" t="s">
        <v>4</v>
      </c>
      <c r="C93">
        <v>44367</v>
      </c>
      <c r="D93">
        <v>1716</v>
      </c>
      <c r="E93">
        <v>649</v>
      </c>
      <c r="F93" s="3">
        <f t="shared" si="21"/>
        <v>3.8677395361417268</v>
      </c>
      <c r="G93" s="3">
        <f t="shared" si="22"/>
        <v>1.4627989271305251</v>
      </c>
      <c r="H93" s="3">
        <f t="shared" si="23"/>
        <v>37.820512820512818</v>
      </c>
      <c r="P93"/>
      <c r="Q93"/>
      <c r="R93"/>
    </row>
    <row r="94" spans="1:21" x14ac:dyDescent="0.25">
      <c r="A94" s="1">
        <v>44556</v>
      </c>
      <c r="B94" t="s">
        <v>4</v>
      </c>
      <c r="C94">
        <v>46674</v>
      </c>
      <c r="D94">
        <v>1322</v>
      </c>
      <c r="E94">
        <v>577</v>
      </c>
      <c r="F94" s="3">
        <f t="shared" si="21"/>
        <v>2.8324120495350731</v>
      </c>
      <c r="G94" s="3">
        <f t="shared" si="22"/>
        <v>1.2362343060376226</v>
      </c>
      <c r="H94" s="3">
        <f t="shared" si="23"/>
        <v>43.645990922844177</v>
      </c>
      <c r="P94"/>
      <c r="Q94"/>
      <c r="R94"/>
    </row>
    <row r="95" spans="1:21" x14ac:dyDescent="0.25">
      <c r="A95" s="1">
        <v>44563</v>
      </c>
      <c r="B95" t="s">
        <v>4</v>
      </c>
      <c r="C95">
        <v>50863</v>
      </c>
      <c r="D95">
        <v>1253</v>
      </c>
      <c r="E95">
        <v>580</v>
      </c>
      <c r="F95" s="3">
        <f t="shared" si="21"/>
        <v>2.463480329512612</v>
      </c>
      <c r="G95" s="3">
        <f t="shared" si="22"/>
        <v>1.1403181094312174</v>
      </c>
      <c r="H95" s="3">
        <f t="shared" si="23"/>
        <v>46.288906624102154</v>
      </c>
      <c r="P95"/>
      <c r="Q95"/>
      <c r="R95"/>
    </row>
    <row r="96" spans="1:21" x14ac:dyDescent="0.25">
      <c r="A96" s="1">
        <v>44570</v>
      </c>
      <c r="B96" t="s">
        <v>4</v>
      </c>
      <c r="C96">
        <v>66233</v>
      </c>
      <c r="D96">
        <v>1815</v>
      </c>
      <c r="E96">
        <v>839</v>
      </c>
      <c r="F96" s="3">
        <f t="shared" si="21"/>
        <v>2.7403258194555584</v>
      </c>
      <c r="G96" s="3">
        <f t="shared" si="22"/>
        <v>1.2667401446408888</v>
      </c>
      <c r="H96" s="3">
        <f t="shared" si="23"/>
        <v>46.225895316804404</v>
      </c>
      <c r="P96">
        <f>SUM(C96:C99)</f>
        <v>247087</v>
      </c>
      <c r="Q96">
        <f>SUM(D96:D99)</f>
        <v>8125</v>
      </c>
      <c r="R96">
        <f>SUM(E96:E99)</f>
        <v>3686</v>
      </c>
      <c r="S96" s="3">
        <f t="shared" si="25"/>
        <v>3.2883154516425388</v>
      </c>
      <c r="T96" s="3">
        <f t="shared" si="26"/>
        <v>1.4917822467390029</v>
      </c>
      <c r="U96" s="3">
        <f t="shared" si="27"/>
        <v>45.366153846153843</v>
      </c>
    </row>
    <row r="97" spans="1:21" x14ac:dyDescent="0.25">
      <c r="A97" s="1">
        <v>44577</v>
      </c>
      <c r="B97" t="s">
        <v>4</v>
      </c>
      <c r="C97">
        <v>60151</v>
      </c>
      <c r="D97">
        <v>2012</v>
      </c>
      <c r="E97">
        <v>927</v>
      </c>
      <c r="F97" s="3">
        <f t="shared" si="21"/>
        <v>3.3449152965037992</v>
      </c>
      <c r="G97" s="3">
        <f t="shared" si="22"/>
        <v>1.5411215108643248</v>
      </c>
      <c r="H97" s="3">
        <f t="shared" si="23"/>
        <v>46.073558648111337</v>
      </c>
      <c r="P97"/>
      <c r="Q97"/>
      <c r="R97"/>
    </row>
    <row r="98" spans="1:21" x14ac:dyDescent="0.25">
      <c r="A98" s="1">
        <v>44584</v>
      </c>
      <c r="B98" t="s">
        <v>4</v>
      </c>
      <c r="C98">
        <v>62514</v>
      </c>
      <c r="D98">
        <v>2012</v>
      </c>
      <c r="E98">
        <v>855</v>
      </c>
      <c r="F98" s="3">
        <f t="shared" si="21"/>
        <v>3.2184790606904055</v>
      </c>
      <c r="G98" s="3">
        <f t="shared" si="22"/>
        <v>1.3676936366253958</v>
      </c>
      <c r="H98" s="3">
        <f t="shared" si="23"/>
        <v>42.495029821073558</v>
      </c>
      <c r="P98"/>
      <c r="Q98"/>
      <c r="R98"/>
    </row>
    <row r="99" spans="1:21" x14ac:dyDescent="0.25">
      <c r="A99" s="1">
        <v>44591</v>
      </c>
      <c r="B99" t="s">
        <v>4</v>
      </c>
      <c r="C99">
        <v>58189</v>
      </c>
      <c r="D99">
        <v>2286</v>
      </c>
      <c r="E99">
        <v>1065</v>
      </c>
      <c r="F99" s="3">
        <f t="shared" si="21"/>
        <v>3.9285775662066715</v>
      </c>
      <c r="G99" s="3">
        <f t="shared" si="22"/>
        <v>1.830242829400746</v>
      </c>
      <c r="H99" s="3">
        <f t="shared" si="23"/>
        <v>46.587926509186353</v>
      </c>
      <c r="I99">
        <f>SUM(C99:C111)</f>
        <v>601161</v>
      </c>
      <c r="J99">
        <f>SUM(D99:D111)</f>
        <v>21892</v>
      </c>
      <c r="K99">
        <f>SUM(E99:E111)</f>
        <v>9900</v>
      </c>
      <c r="L99">
        <v>100</v>
      </c>
      <c r="M99" s="3">
        <f>J99/I99*100</f>
        <v>3.6416201317118042</v>
      </c>
      <c r="N99" s="3">
        <f>K99/I99*100</f>
        <v>1.6468134160399626</v>
      </c>
      <c r="O99" s="3">
        <f t="shared" ref="O99" si="29">K99/J99*100</f>
        <v>45.221998903709114</v>
      </c>
      <c r="P99"/>
      <c r="Q99"/>
      <c r="R99"/>
    </row>
    <row r="100" spans="1:21" x14ac:dyDescent="0.25">
      <c r="A100" s="1">
        <v>44598</v>
      </c>
      <c r="B100" t="s">
        <v>4</v>
      </c>
      <c r="C100">
        <v>55090</v>
      </c>
      <c r="D100">
        <v>1942</v>
      </c>
      <c r="E100">
        <v>940</v>
      </c>
      <c r="F100" s="3">
        <f t="shared" si="21"/>
        <v>3.5251406788890902</v>
      </c>
      <c r="G100" s="3">
        <f t="shared" si="22"/>
        <v>1.7062987838083137</v>
      </c>
      <c r="H100" s="3">
        <f t="shared" si="23"/>
        <v>48.403707518022657</v>
      </c>
      <c r="P100">
        <f>SUM(C100:C103)</f>
        <v>202698</v>
      </c>
      <c r="Q100">
        <f>SUM(D100:D103)</f>
        <v>7422</v>
      </c>
      <c r="R100">
        <f>SUM(E100:E103)</f>
        <v>3604</v>
      </c>
      <c r="S100" s="3">
        <f t="shared" si="25"/>
        <v>3.6616049492348224</v>
      </c>
      <c r="T100" s="3">
        <f t="shared" si="26"/>
        <v>1.7780145832716654</v>
      </c>
      <c r="U100" s="3">
        <f t="shared" si="27"/>
        <v>48.55834007006198</v>
      </c>
    </row>
    <row r="101" spans="1:21" x14ac:dyDescent="0.25">
      <c r="A101" s="1">
        <v>44605</v>
      </c>
      <c r="B101" t="s">
        <v>4</v>
      </c>
      <c r="C101">
        <v>47939</v>
      </c>
      <c r="D101">
        <v>1901</v>
      </c>
      <c r="E101">
        <v>903</v>
      </c>
      <c r="F101" s="3">
        <f t="shared" si="21"/>
        <v>3.9654561004610027</v>
      </c>
      <c r="G101" s="3">
        <f t="shared" si="22"/>
        <v>1.883643797325768</v>
      </c>
      <c r="H101" s="3">
        <f t="shared" si="23"/>
        <v>47.501315097317203</v>
      </c>
      <c r="P101"/>
      <c r="Q101"/>
      <c r="R101"/>
    </row>
    <row r="102" spans="1:21" x14ac:dyDescent="0.25">
      <c r="A102" s="1">
        <v>44612</v>
      </c>
      <c r="B102" t="s">
        <v>4</v>
      </c>
      <c r="C102">
        <v>46548</v>
      </c>
      <c r="D102">
        <v>1698</v>
      </c>
      <c r="E102">
        <v>796</v>
      </c>
      <c r="F102" s="3">
        <f t="shared" si="21"/>
        <v>3.6478473833462233</v>
      </c>
      <c r="G102" s="3">
        <f t="shared" si="22"/>
        <v>1.7100627309444016</v>
      </c>
      <c r="H102" s="3">
        <f t="shared" si="23"/>
        <v>46.878680800942284</v>
      </c>
      <c r="P102"/>
      <c r="Q102"/>
      <c r="R102"/>
    </row>
    <row r="103" spans="1:21" x14ac:dyDescent="0.25">
      <c r="A103" s="1">
        <v>44619</v>
      </c>
      <c r="B103" t="s">
        <v>4</v>
      </c>
      <c r="C103">
        <v>53121</v>
      </c>
      <c r="D103">
        <v>1881</v>
      </c>
      <c r="E103">
        <v>965</v>
      </c>
      <c r="F103" s="3">
        <f t="shared" si="21"/>
        <v>3.5409724967526963</v>
      </c>
      <c r="G103" s="3">
        <f t="shared" si="22"/>
        <v>1.8166073680841852</v>
      </c>
      <c r="H103" s="3">
        <f t="shared" si="23"/>
        <v>51.302498670919725</v>
      </c>
      <c r="P103"/>
      <c r="Q103"/>
      <c r="R103"/>
    </row>
    <row r="104" spans="1:21" x14ac:dyDescent="0.25">
      <c r="A104" s="1">
        <v>44626</v>
      </c>
      <c r="B104" t="s">
        <v>4</v>
      </c>
      <c r="C104">
        <v>50570</v>
      </c>
      <c r="D104">
        <v>2014</v>
      </c>
      <c r="E104">
        <v>909</v>
      </c>
      <c r="F104" s="3">
        <f t="shared" si="21"/>
        <v>3.9825983784852679</v>
      </c>
      <c r="G104" s="3">
        <f t="shared" si="22"/>
        <v>1.7975084041922089</v>
      </c>
      <c r="H104" s="3">
        <f t="shared" si="23"/>
        <v>45.134061569016879</v>
      </c>
      <c r="P104">
        <f>SUM(C104:C107)</f>
        <v>192630</v>
      </c>
      <c r="Q104">
        <f>SUM(D104:D107)</f>
        <v>6811</v>
      </c>
      <c r="R104">
        <f>SUM(E104:E107)</f>
        <v>2981</v>
      </c>
      <c r="S104" s="3">
        <f t="shared" si="25"/>
        <v>3.5357940092405129</v>
      </c>
      <c r="T104" s="3">
        <f t="shared" si="26"/>
        <v>1.5475263458443649</v>
      </c>
      <c r="U104" s="3">
        <f t="shared" si="27"/>
        <v>43.767435031566585</v>
      </c>
    </row>
    <row r="105" spans="1:21" x14ac:dyDescent="0.25">
      <c r="A105" s="1">
        <v>44633</v>
      </c>
      <c r="B105" t="s">
        <v>4</v>
      </c>
      <c r="C105">
        <v>50570</v>
      </c>
      <c r="D105">
        <v>1728</v>
      </c>
      <c r="E105">
        <v>794</v>
      </c>
      <c r="F105" s="3">
        <f t="shared" si="21"/>
        <v>3.4170456792564758</v>
      </c>
      <c r="G105" s="3">
        <f t="shared" si="22"/>
        <v>1.5701008503065057</v>
      </c>
      <c r="H105" s="3">
        <f t="shared" si="23"/>
        <v>45.949074074074076</v>
      </c>
      <c r="P105"/>
      <c r="Q105"/>
      <c r="R105"/>
    </row>
    <row r="106" spans="1:21" x14ac:dyDescent="0.25">
      <c r="A106" s="1">
        <v>44640</v>
      </c>
      <c r="B106" t="s">
        <v>4</v>
      </c>
      <c r="C106">
        <v>46144</v>
      </c>
      <c r="D106">
        <v>1488</v>
      </c>
      <c r="E106">
        <v>635</v>
      </c>
      <c r="F106" s="3">
        <f t="shared" si="21"/>
        <v>3.2246879334257974</v>
      </c>
      <c r="G106" s="3">
        <f t="shared" si="22"/>
        <v>1.3761269070735092</v>
      </c>
      <c r="H106" s="3">
        <f t="shared" si="23"/>
        <v>42.674731182795696</v>
      </c>
      <c r="P106"/>
      <c r="Q106"/>
      <c r="R106"/>
    </row>
    <row r="107" spans="1:21" x14ac:dyDescent="0.25">
      <c r="A107" s="1">
        <v>44647</v>
      </c>
      <c r="B107" t="s">
        <v>4</v>
      </c>
      <c r="C107">
        <v>45346</v>
      </c>
      <c r="D107">
        <v>1581</v>
      </c>
      <c r="E107">
        <v>643</v>
      </c>
      <c r="F107" s="3">
        <f t="shared" si="21"/>
        <v>3.4865258236669168</v>
      </c>
      <c r="G107" s="3">
        <f t="shared" si="22"/>
        <v>1.4179861509284171</v>
      </c>
      <c r="H107" s="3">
        <f t="shared" si="23"/>
        <v>40.670461733080323</v>
      </c>
      <c r="P107"/>
      <c r="Q107"/>
      <c r="R107"/>
    </row>
    <row r="108" spans="1:21" x14ac:dyDescent="0.25">
      <c r="A108" s="1">
        <v>44654</v>
      </c>
      <c r="B108" t="s">
        <v>4</v>
      </c>
      <c r="C108">
        <v>38350</v>
      </c>
      <c r="D108">
        <v>1568</v>
      </c>
      <c r="E108">
        <v>733</v>
      </c>
      <c r="F108" s="3">
        <f t="shared" si="21"/>
        <v>4.0886571056062584</v>
      </c>
      <c r="G108" s="3">
        <f t="shared" si="22"/>
        <v>1.9113428943937421</v>
      </c>
      <c r="H108" s="3">
        <f t="shared" si="23"/>
        <v>46.747448979591837</v>
      </c>
      <c r="P108">
        <f>SUM(C108:C111)</f>
        <v>147644</v>
      </c>
      <c r="Q108">
        <f>SUM(D108:D111)</f>
        <v>5373</v>
      </c>
      <c r="R108">
        <f>SUM(E108:E111)</f>
        <v>2250</v>
      </c>
      <c r="S108" s="3">
        <f t="shared" si="25"/>
        <v>3.6391590582753111</v>
      </c>
      <c r="T108" s="3">
        <f t="shared" si="26"/>
        <v>1.5239359540516377</v>
      </c>
      <c r="U108" s="3">
        <f t="shared" si="27"/>
        <v>41.876046901172529</v>
      </c>
    </row>
    <row r="109" spans="1:21" x14ac:dyDescent="0.25">
      <c r="A109" s="1">
        <v>44661</v>
      </c>
      <c r="B109" t="s">
        <v>4</v>
      </c>
      <c r="C109">
        <v>34435</v>
      </c>
      <c r="D109">
        <v>1298</v>
      </c>
      <c r="E109">
        <v>548</v>
      </c>
      <c r="F109" s="3">
        <f t="shared" si="21"/>
        <v>3.7694206475969216</v>
      </c>
      <c r="G109" s="3">
        <f t="shared" si="22"/>
        <v>1.5914040946711197</v>
      </c>
      <c r="H109" s="3">
        <f t="shared" si="23"/>
        <v>42.218798151001543</v>
      </c>
      <c r="P109"/>
      <c r="Q109"/>
      <c r="R109"/>
    </row>
    <row r="110" spans="1:21" x14ac:dyDescent="0.25">
      <c r="A110" s="1">
        <v>44668</v>
      </c>
      <c r="B110" t="s">
        <v>4</v>
      </c>
      <c r="C110">
        <v>37633</v>
      </c>
      <c r="D110">
        <v>1107</v>
      </c>
      <c r="E110">
        <v>429</v>
      </c>
      <c r="F110" s="3">
        <f t="shared" si="21"/>
        <v>2.9415672415167538</v>
      </c>
      <c r="G110" s="3">
        <f t="shared" si="22"/>
        <v>1.1399569526745144</v>
      </c>
      <c r="H110" s="3">
        <f t="shared" si="23"/>
        <v>38.75338753387534</v>
      </c>
      <c r="P110"/>
      <c r="Q110"/>
      <c r="R110"/>
    </row>
    <row r="111" spans="1:21" x14ac:dyDescent="0.25">
      <c r="A111" s="1">
        <v>44675</v>
      </c>
      <c r="B111" t="s">
        <v>4</v>
      </c>
      <c r="C111">
        <v>37226</v>
      </c>
      <c r="D111">
        <v>1400</v>
      </c>
      <c r="E111">
        <v>540</v>
      </c>
      <c r="F111" s="3">
        <f t="shared" si="21"/>
        <v>3.7608123354644607</v>
      </c>
      <c r="G111" s="3">
        <f t="shared" si="22"/>
        <v>1.4505990436791489</v>
      </c>
      <c r="H111" s="3">
        <f t="shared" si="23"/>
        <v>38.571428571428577</v>
      </c>
      <c r="P111"/>
      <c r="Q111"/>
      <c r="R111"/>
    </row>
    <row r="112" spans="1:21" x14ac:dyDescent="0.25">
      <c r="A112" s="1">
        <v>44682</v>
      </c>
      <c r="B112" t="s">
        <v>4</v>
      </c>
      <c r="C112">
        <v>56418</v>
      </c>
      <c r="D112">
        <v>1395</v>
      </c>
      <c r="E112">
        <v>534</v>
      </c>
      <c r="F112" s="3">
        <f t="shared" si="21"/>
        <v>2.4726151228331386</v>
      </c>
      <c r="G112" s="3">
        <f t="shared" si="22"/>
        <v>0.94650643411677127</v>
      </c>
      <c r="H112" s="3">
        <f t="shared" si="23"/>
        <v>38.27956989247312</v>
      </c>
      <c r="I112">
        <f>SUM(C112:C124)</f>
        <v>469635</v>
      </c>
      <c r="J112">
        <f>SUM(D112:D124)</f>
        <v>16595</v>
      </c>
      <c r="K112">
        <f>SUM(E112:E124)</f>
        <v>5861</v>
      </c>
      <c r="L112">
        <v>100</v>
      </c>
      <c r="M112" s="3">
        <f>J112/I112*100</f>
        <v>3.5335952388557073</v>
      </c>
      <c r="N112" s="3">
        <f>K112/I112*100</f>
        <v>1.2479904606769086</v>
      </c>
      <c r="O112" s="3">
        <f t="shared" ref="O112" si="30">K112/J112*100</f>
        <v>35.317866827357633</v>
      </c>
      <c r="P112">
        <f>SUM(C112:C115)</f>
        <v>174779</v>
      </c>
      <c r="Q112">
        <f>SUM(D112:D115)</f>
        <v>6164</v>
      </c>
      <c r="R112">
        <f>SUM(E112:E115)</f>
        <v>1818</v>
      </c>
      <c r="S112" s="3">
        <f t="shared" si="25"/>
        <v>3.5267394824321001</v>
      </c>
      <c r="T112" s="3">
        <f t="shared" si="26"/>
        <v>1.0401707298931795</v>
      </c>
      <c r="U112" s="3">
        <f t="shared" si="27"/>
        <v>29.493835171966253</v>
      </c>
    </row>
    <row r="113" spans="1:21" x14ac:dyDescent="0.25">
      <c r="A113" s="1">
        <v>44689</v>
      </c>
      <c r="B113" t="s">
        <v>4</v>
      </c>
      <c r="C113">
        <v>44314</v>
      </c>
      <c r="D113">
        <v>1318</v>
      </c>
      <c r="E113">
        <v>486</v>
      </c>
      <c r="F113" s="3">
        <f t="shared" si="21"/>
        <v>2.9742293631809362</v>
      </c>
      <c r="G113" s="3">
        <f t="shared" si="22"/>
        <v>1.096718869883107</v>
      </c>
      <c r="H113" s="3">
        <f t="shared" si="23"/>
        <v>36.874051593323216</v>
      </c>
      <c r="P113"/>
      <c r="Q113"/>
      <c r="R113"/>
    </row>
    <row r="114" spans="1:21" x14ac:dyDescent="0.25">
      <c r="A114" s="1">
        <v>44696</v>
      </c>
      <c r="B114" t="s">
        <v>4</v>
      </c>
      <c r="C114">
        <v>39427</v>
      </c>
      <c r="D114">
        <v>1717</v>
      </c>
      <c r="E114">
        <v>424</v>
      </c>
      <c r="F114" s="3">
        <f t="shared" si="21"/>
        <v>4.3548837091333352</v>
      </c>
      <c r="G114" s="3">
        <f t="shared" si="22"/>
        <v>1.0754051791919244</v>
      </c>
      <c r="H114" s="3">
        <f t="shared" si="23"/>
        <v>24.694234129295285</v>
      </c>
      <c r="P114"/>
      <c r="Q114"/>
      <c r="R114"/>
    </row>
    <row r="115" spans="1:21" x14ac:dyDescent="0.25">
      <c r="A115" s="1">
        <v>44703</v>
      </c>
      <c r="B115" t="s">
        <v>4</v>
      </c>
      <c r="C115">
        <v>34620</v>
      </c>
      <c r="D115">
        <v>1734</v>
      </c>
      <c r="E115">
        <v>374</v>
      </c>
      <c r="F115" s="3">
        <f t="shared" si="21"/>
        <v>5.0086655112651641</v>
      </c>
      <c r="G115" s="3">
        <f t="shared" si="22"/>
        <v>1.0803004043905258</v>
      </c>
      <c r="H115" s="3">
        <f t="shared" si="23"/>
        <v>21.568627450980394</v>
      </c>
      <c r="P115"/>
      <c r="Q115"/>
      <c r="R115"/>
    </row>
    <row r="116" spans="1:21" x14ac:dyDescent="0.25">
      <c r="A116" s="1">
        <v>44710</v>
      </c>
      <c r="B116" t="s">
        <v>4</v>
      </c>
      <c r="C116">
        <v>36598</v>
      </c>
      <c r="D116">
        <v>1400</v>
      </c>
      <c r="E116">
        <v>341</v>
      </c>
      <c r="F116" s="3">
        <f t="shared" si="21"/>
        <v>3.8253456473031315</v>
      </c>
      <c r="G116" s="3">
        <f t="shared" si="22"/>
        <v>0.93174490409311983</v>
      </c>
      <c r="H116" s="3">
        <f t="shared" si="23"/>
        <v>24.357142857142858</v>
      </c>
      <c r="P116">
        <f>SUM(C116:C119)</f>
        <v>142379</v>
      </c>
      <c r="Q116">
        <f>SUM(D116:D119)</f>
        <v>5219</v>
      </c>
      <c r="R116">
        <f>SUM(E116:E119)</f>
        <v>1902</v>
      </c>
      <c r="S116" s="3">
        <f t="shared" si="25"/>
        <v>3.6655686582993279</v>
      </c>
      <c r="T116" s="3">
        <f t="shared" si="26"/>
        <v>1.3358711607751144</v>
      </c>
      <c r="U116" s="3">
        <f t="shared" si="27"/>
        <v>36.443763173021651</v>
      </c>
    </row>
    <row r="117" spans="1:21" x14ac:dyDescent="0.25">
      <c r="A117" s="1">
        <v>44717</v>
      </c>
      <c r="B117" t="s">
        <v>4</v>
      </c>
      <c r="C117">
        <v>36380</v>
      </c>
      <c r="D117">
        <v>1308</v>
      </c>
      <c r="E117">
        <v>509</v>
      </c>
      <c r="F117" s="3">
        <f t="shared" si="21"/>
        <v>3.5953820780648709</v>
      </c>
      <c r="G117" s="3">
        <f t="shared" si="22"/>
        <v>1.3991203958218801</v>
      </c>
      <c r="H117" s="3">
        <f t="shared" si="23"/>
        <v>38.914373088685018</v>
      </c>
      <c r="P117"/>
      <c r="Q117"/>
      <c r="R117"/>
    </row>
    <row r="118" spans="1:21" x14ac:dyDescent="0.25">
      <c r="A118" s="1">
        <v>44724</v>
      </c>
      <c r="B118" t="s">
        <v>4</v>
      </c>
      <c r="C118">
        <v>36886</v>
      </c>
      <c r="D118">
        <v>1297</v>
      </c>
      <c r="E118">
        <v>544</v>
      </c>
      <c r="F118" s="3">
        <f t="shared" si="21"/>
        <v>3.5162392235536513</v>
      </c>
      <c r="G118" s="3">
        <f t="shared" si="22"/>
        <v>1.4748142926855718</v>
      </c>
      <c r="H118" s="3">
        <f t="shared" si="23"/>
        <v>41.942945258288354</v>
      </c>
      <c r="P118"/>
      <c r="Q118"/>
      <c r="R118"/>
    </row>
    <row r="119" spans="1:21" x14ac:dyDescent="0.25">
      <c r="A119" s="1">
        <v>44731</v>
      </c>
      <c r="B119" t="s">
        <v>4</v>
      </c>
      <c r="C119">
        <v>32515</v>
      </c>
      <c r="D119">
        <v>1214</v>
      </c>
      <c r="E119">
        <v>508</v>
      </c>
      <c r="F119" s="3">
        <f t="shared" si="21"/>
        <v>3.73366138705213</v>
      </c>
      <c r="G119" s="3">
        <f t="shared" si="22"/>
        <v>1.5623558357681069</v>
      </c>
      <c r="H119" s="3">
        <f t="shared" si="23"/>
        <v>41.845140032948933</v>
      </c>
      <c r="P119"/>
      <c r="Q119"/>
      <c r="R119"/>
    </row>
    <row r="120" spans="1:21" x14ac:dyDescent="0.25">
      <c r="A120" s="1">
        <v>44738</v>
      </c>
      <c r="B120" t="s">
        <v>4</v>
      </c>
      <c r="C120">
        <v>27746</v>
      </c>
      <c r="D120">
        <v>1110</v>
      </c>
      <c r="E120">
        <v>479</v>
      </c>
      <c r="F120" s="3">
        <f t="shared" si="21"/>
        <v>4.0005766596986954</v>
      </c>
      <c r="G120" s="3">
        <f t="shared" si="22"/>
        <v>1.7263749729690765</v>
      </c>
      <c r="H120" s="3">
        <f t="shared" si="23"/>
        <v>43.153153153153148</v>
      </c>
      <c r="P120">
        <f>SUM(C120:C123)</f>
        <v>117269</v>
      </c>
      <c r="Q120">
        <f>SUM(D120:D123)</f>
        <v>4126</v>
      </c>
      <c r="R120">
        <f>SUM(E120:E123)</f>
        <v>1703</v>
      </c>
      <c r="S120" s="3">
        <f t="shared" si="25"/>
        <v>3.5184063989630676</v>
      </c>
      <c r="T120" s="3">
        <f t="shared" si="26"/>
        <v>1.4522166983601803</v>
      </c>
      <c r="U120" s="3">
        <f t="shared" si="27"/>
        <v>41.274842462433348</v>
      </c>
    </row>
    <row r="121" spans="1:21" x14ac:dyDescent="0.25">
      <c r="A121" s="1">
        <v>44745</v>
      </c>
      <c r="B121" t="s">
        <v>4</v>
      </c>
      <c r="C121">
        <v>30144</v>
      </c>
      <c r="D121">
        <v>923</v>
      </c>
      <c r="E121">
        <v>376</v>
      </c>
      <c r="F121" s="3">
        <f t="shared" si="21"/>
        <v>3.0619692144373674</v>
      </c>
      <c r="G121" s="3">
        <f t="shared" si="22"/>
        <v>1.2473460721868366</v>
      </c>
      <c r="H121" s="3">
        <f t="shared" si="23"/>
        <v>40.736728060671723</v>
      </c>
      <c r="P121"/>
      <c r="Q121"/>
      <c r="R121"/>
    </row>
    <row r="122" spans="1:21" x14ac:dyDescent="0.25">
      <c r="A122" s="1">
        <v>44752</v>
      </c>
      <c r="B122" t="s">
        <v>4</v>
      </c>
      <c r="C122">
        <v>28820</v>
      </c>
      <c r="D122">
        <v>1064</v>
      </c>
      <c r="E122">
        <v>408</v>
      </c>
      <c r="F122" s="3">
        <f t="shared" si="21"/>
        <v>3.6918806384455238</v>
      </c>
      <c r="G122" s="3">
        <f t="shared" si="22"/>
        <v>1.4156835530881333</v>
      </c>
      <c r="H122" s="3">
        <f t="shared" si="23"/>
        <v>38.345864661654133</v>
      </c>
      <c r="P122"/>
      <c r="Q122"/>
      <c r="R122"/>
    </row>
    <row r="123" spans="1:21" x14ac:dyDescent="0.25">
      <c r="A123" s="1">
        <v>44759</v>
      </c>
      <c r="B123" t="s">
        <v>4</v>
      </c>
      <c r="C123">
        <v>30559</v>
      </c>
      <c r="D123">
        <v>1029</v>
      </c>
      <c r="E123">
        <v>440</v>
      </c>
      <c r="F123" s="3">
        <f t="shared" si="21"/>
        <v>3.3672567819627601</v>
      </c>
      <c r="G123" s="3">
        <f t="shared" si="22"/>
        <v>1.439837691023921</v>
      </c>
      <c r="H123" s="3">
        <f t="shared" si="23"/>
        <v>42.759961127308067</v>
      </c>
      <c r="P123"/>
      <c r="Q123"/>
      <c r="R123"/>
    </row>
    <row r="124" spans="1:21" x14ac:dyDescent="0.25">
      <c r="A124" s="1">
        <v>44766</v>
      </c>
      <c r="B124" t="s">
        <v>4</v>
      </c>
      <c r="C124">
        <v>35208</v>
      </c>
      <c r="D124">
        <v>1086</v>
      </c>
      <c r="E124">
        <v>438</v>
      </c>
      <c r="F124" s="3">
        <f t="shared" si="21"/>
        <v>3.0845262440354468</v>
      </c>
      <c r="G124" s="3">
        <f t="shared" si="22"/>
        <v>1.2440354464894343</v>
      </c>
      <c r="H124" s="3">
        <f t="shared" si="23"/>
        <v>40.331491712707184</v>
      </c>
      <c r="P124">
        <f>SUM(C124:C127)</f>
        <v>138861</v>
      </c>
      <c r="Q124">
        <f>SUM(D124:D127)</f>
        <v>4237</v>
      </c>
      <c r="R124">
        <f>SUM(E124:E127)</f>
        <v>1724</v>
      </c>
      <c r="S124" s="3">
        <f t="shared" si="25"/>
        <v>3.0512526915404616</v>
      </c>
      <c r="T124" s="3">
        <f t="shared" si="26"/>
        <v>1.241529299083256</v>
      </c>
      <c r="U124" s="3">
        <f t="shared" si="27"/>
        <v>40.689166863346706</v>
      </c>
    </row>
    <row r="125" spans="1:21" x14ac:dyDescent="0.25">
      <c r="A125" s="1">
        <v>44773</v>
      </c>
      <c r="B125" t="s">
        <v>4</v>
      </c>
      <c r="C125">
        <v>30487</v>
      </c>
      <c r="D125">
        <v>985</v>
      </c>
      <c r="E125">
        <v>386</v>
      </c>
      <c r="F125" s="3">
        <f t="shared" si="21"/>
        <v>3.2308852953717979</v>
      </c>
      <c r="G125" s="3">
        <f t="shared" si="22"/>
        <v>1.2661134253944304</v>
      </c>
      <c r="H125" s="3">
        <f t="shared" si="23"/>
        <v>39.18781725888325</v>
      </c>
      <c r="P125"/>
      <c r="Q125"/>
      <c r="R125"/>
    </row>
    <row r="126" spans="1:21" x14ac:dyDescent="0.25">
      <c r="A126" s="1">
        <v>44780</v>
      </c>
      <c r="B126" t="s">
        <v>4</v>
      </c>
      <c r="C126">
        <v>37321</v>
      </c>
      <c r="D126">
        <v>956</v>
      </c>
      <c r="E126">
        <v>424</v>
      </c>
      <c r="F126" s="3">
        <f t="shared" si="21"/>
        <v>2.561560515527451</v>
      </c>
      <c r="G126" s="3">
        <f t="shared" si="22"/>
        <v>1.1360896010289114</v>
      </c>
      <c r="H126" s="3">
        <f t="shared" si="23"/>
        <v>44.35146443514644</v>
      </c>
      <c r="P126"/>
      <c r="Q126"/>
      <c r="R126"/>
    </row>
    <row r="127" spans="1:21" x14ac:dyDescent="0.25">
      <c r="A127" s="1">
        <v>44787</v>
      </c>
      <c r="B127" t="s">
        <v>4</v>
      </c>
      <c r="C127">
        <v>35845</v>
      </c>
      <c r="D127">
        <v>1210</v>
      </c>
      <c r="E127">
        <v>476</v>
      </c>
      <c r="F127" s="3">
        <f t="shared" si="21"/>
        <v>3.375645138792021</v>
      </c>
      <c r="G127" s="3">
        <f t="shared" si="22"/>
        <v>1.3279397405495885</v>
      </c>
      <c r="H127" s="3">
        <f t="shared" si="23"/>
        <v>39.33884297520661</v>
      </c>
      <c r="P127"/>
      <c r="Q127"/>
      <c r="R127"/>
    </row>
    <row r="128" spans="1:21" x14ac:dyDescent="0.25">
      <c r="A128" s="1">
        <v>44794</v>
      </c>
      <c r="B128" t="s">
        <v>4</v>
      </c>
      <c r="C128">
        <v>29579</v>
      </c>
      <c r="D128">
        <v>1260</v>
      </c>
      <c r="E128">
        <v>527</v>
      </c>
      <c r="F128" s="3">
        <f t="shared" si="21"/>
        <v>4.2597788971905741</v>
      </c>
      <c r="G128" s="3">
        <f t="shared" si="22"/>
        <v>1.7816694276344704</v>
      </c>
      <c r="H128" s="3">
        <f t="shared" si="23"/>
        <v>41.82539682539683</v>
      </c>
      <c r="P128"/>
      <c r="Q128"/>
      <c r="R128"/>
    </row>
    <row r="129" spans="1:28" x14ac:dyDescent="0.25">
      <c r="A129" s="1">
        <v>44801</v>
      </c>
      <c r="B129" t="s">
        <v>4</v>
      </c>
      <c r="C129">
        <v>30277</v>
      </c>
      <c r="D129">
        <v>1242</v>
      </c>
      <c r="E129">
        <v>485</v>
      </c>
      <c r="F129" s="3">
        <f t="shared" si="21"/>
        <v>4.1021237242791564</v>
      </c>
      <c r="G129" s="3">
        <f t="shared" si="22"/>
        <v>1.6018760114938733</v>
      </c>
      <c r="H129" s="3">
        <f t="shared" si="23"/>
        <v>39.049919484702095</v>
      </c>
      <c r="P129"/>
      <c r="Q129"/>
      <c r="R129"/>
    </row>
    <row r="130" spans="1:28" x14ac:dyDescent="0.25">
      <c r="A130" s="1">
        <v>43919</v>
      </c>
      <c r="B130" t="s">
        <v>5</v>
      </c>
      <c r="C130">
        <v>6134</v>
      </c>
      <c r="D130">
        <v>296</v>
      </c>
      <c r="E130">
        <v>33</v>
      </c>
      <c r="F130" s="3">
        <f t="shared" si="21"/>
        <v>4.8255624388653402</v>
      </c>
      <c r="G130" s="3">
        <f t="shared" si="22"/>
        <v>0.53798500163025764</v>
      </c>
      <c r="H130" s="3">
        <f t="shared" si="23"/>
        <v>11.148648648648649</v>
      </c>
      <c r="P130"/>
      <c r="Q130"/>
      <c r="R130"/>
    </row>
    <row r="131" spans="1:28" x14ac:dyDescent="0.25">
      <c r="A131" s="1">
        <v>43926</v>
      </c>
      <c r="B131" t="s">
        <v>5</v>
      </c>
      <c r="C131">
        <v>5611</v>
      </c>
      <c r="D131">
        <v>266</v>
      </c>
      <c r="E131">
        <v>27</v>
      </c>
      <c r="F131" s="3">
        <f t="shared" si="21"/>
        <v>4.7406879344145425</v>
      </c>
      <c r="G131" s="3">
        <f t="shared" si="22"/>
        <v>0.4811976474781679</v>
      </c>
      <c r="H131" s="3">
        <f t="shared" si="23"/>
        <v>10.150375939849624</v>
      </c>
      <c r="P131"/>
      <c r="Q131"/>
      <c r="R131"/>
    </row>
    <row r="132" spans="1:28" x14ac:dyDescent="0.25">
      <c r="A132" s="1">
        <v>43933</v>
      </c>
      <c r="B132" t="s">
        <v>5</v>
      </c>
      <c r="C132">
        <v>4363</v>
      </c>
      <c r="D132">
        <v>206</v>
      </c>
      <c r="E132">
        <v>27</v>
      </c>
      <c r="F132" s="3">
        <f t="shared" si="21"/>
        <v>4.7215218886087555</v>
      </c>
      <c r="G132" s="3">
        <f t="shared" si="22"/>
        <v>0.61884024753609901</v>
      </c>
      <c r="H132" s="3">
        <f t="shared" si="23"/>
        <v>13.106796116504855</v>
      </c>
      <c r="P132"/>
      <c r="Q132"/>
      <c r="R132"/>
    </row>
    <row r="133" spans="1:28" x14ac:dyDescent="0.25">
      <c r="A133" s="1">
        <v>43940</v>
      </c>
      <c r="B133" t="s">
        <v>5</v>
      </c>
      <c r="C133">
        <v>6686</v>
      </c>
      <c r="D133">
        <v>272</v>
      </c>
      <c r="E133">
        <v>35</v>
      </c>
      <c r="F133" s="3">
        <f t="shared" si="21"/>
        <v>4.0682022135806166</v>
      </c>
      <c r="G133" s="3">
        <f t="shared" si="22"/>
        <v>0.52348190248279991</v>
      </c>
      <c r="H133" s="3">
        <f t="shared" si="23"/>
        <v>12.867647058823529</v>
      </c>
      <c r="P133"/>
      <c r="Q133"/>
      <c r="R133"/>
    </row>
    <row r="134" spans="1:28" x14ac:dyDescent="0.25">
      <c r="A134" s="1">
        <v>43947</v>
      </c>
      <c r="B134" t="s">
        <v>5</v>
      </c>
      <c r="C134">
        <v>5045</v>
      </c>
      <c r="D134">
        <v>270</v>
      </c>
      <c r="E134">
        <v>35</v>
      </c>
      <c r="F134" s="3">
        <f t="shared" si="21"/>
        <v>5.3518334985133791</v>
      </c>
      <c r="G134" s="3">
        <f t="shared" si="22"/>
        <v>0.6937561942517344</v>
      </c>
      <c r="H134" s="3">
        <f t="shared" si="23"/>
        <v>12.962962962962962</v>
      </c>
      <c r="P134"/>
      <c r="Q134"/>
      <c r="R134"/>
    </row>
    <row r="135" spans="1:28" x14ac:dyDescent="0.25">
      <c r="A135" s="1">
        <v>43954</v>
      </c>
      <c r="B135" t="s">
        <v>5</v>
      </c>
      <c r="C135">
        <v>3897</v>
      </c>
      <c r="D135">
        <v>228</v>
      </c>
      <c r="E135">
        <v>32</v>
      </c>
      <c r="F135" s="3">
        <f t="shared" si="21"/>
        <v>5.8506543494996146</v>
      </c>
      <c r="G135" s="3">
        <f t="shared" si="22"/>
        <v>0.82114447010520919</v>
      </c>
      <c r="H135" s="3">
        <f t="shared" si="23"/>
        <v>14.035087719298245</v>
      </c>
      <c r="I135">
        <f>SUM(C135:C147)</f>
        <v>55762</v>
      </c>
      <c r="J135">
        <f>SUM(D135:D147)</f>
        <v>2583</v>
      </c>
      <c r="K135">
        <f>SUM(E135:E147)</f>
        <v>276</v>
      </c>
      <c r="L135">
        <v>100</v>
      </c>
      <c r="M135" s="3">
        <f>J135/I135*100</f>
        <v>4.6321867938739647</v>
      </c>
      <c r="N135" s="3">
        <f>K135/I135*100</f>
        <v>0.49496072594239804</v>
      </c>
      <c r="O135" s="3">
        <f t="shared" ref="O135" si="31">K135/J135*100</f>
        <v>10.685249709639953</v>
      </c>
      <c r="P135">
        <f>SUM(C135:C138)</f>
        <v>17052</v>
      </c>
      <c r="Q135">
        <f>SUM(D135:D138)</f>
        <v>862</v>
      </c>
      <c r="R135">
        <f>SUM(E135:E138)</f>
        <v>88</v>
      </c>
      <c r="S135" s="3">
        <f t="shared" si="25"/>
        <v>5.0551254984752516</v>
      </c>
      <c r="T135" s="3">
        <f t="shared" si="26"/>
        <v>0.51606849636406282</v>
      </c>
      <c r="U135" s="3">
        <f t="shared" si="27"/>
        <v>10.208816705336426</v>
      </c>
      <c r="V135">
        <f>SUM(C135:C164)</f>
        <v>127396</v>
      </c>
      <c r="W135">
        <f>SUM(D135:D164)</f>
        <v>5807</v>
      </c>
      <c r="X135">
        <f>SUM(E135:E164)</f>
        <v>662</v>
      </c>
      <c r="Y135">
        <v>100</v>
      </c>
      <c r="Z135" s="3">
        <f>W135/V135*100</f>
        <v>4.5582278878457716</v>
      </c>
      <c r="AA135" s="3">
        <f>X135/V135*100</f>
        <v>0.5196395491224215</v>
      </c>
      <c r="AB135" s="3">
        <f t="shared" ref="AB135" si="32">X135/W135*100</f>
        <v>11.400034441191666</v>
      </c>
    </row>
    <row r="136" spans="1:28" x14ac:dyDescent="0.25">
      <c r="A136" s="1">
        <v>43961</v>
      </c>
      <c r="B136" t="s">
        <v>5</v>
      </c>
      <c r="C136">
        <v>4269</v>
      </c>
      <c r="D136">
        <v>225</v>
      </c>
      <c r="E136">
        <v>20</v>
      </c>
      <c r="F136" s="3">
        <f t="shared" si="21"/>
        <v>5.2705551651440619</v>
      </c>
      <c r="G136" s="3">
        <f t="shared" si="22"/>
        <v>0.46849379245724992</v>
      </c>
      <c r="H136" s="3">
        <f t="shared" si="23"/>
        <v>8.8888888888888893</v>
      </c>
      <c r="P136"/>
      <c r="Q136"/>
      <c r="R136"/>
    </row>
    <row r="137" spans="1:28" x14ac:dyDescent="0.25">
      <c r="A137" s="1">
        <v>43968</v>
      </c>
      <c r="B137" t="s">
        <v>5</v>
      </c>
      <c r="C137">
        <v>4173</v>
      </c>
      <c r="D137">
        <v>184</v>
      </c>
      <c r="E137">
        <v>21</v>
      </c>
      <c r="F137" s="3">
        <f t="shared" ref="F137:F200" si="33">D137/C137*100</f>
        <v>4.4092978672417926</v>
      </c>
      <c r="G137" s="3">
        <f t="shared" ref="G137:G200" si="34">E137/C137*100</f>
        <v>0.50323508267433503</v>
      </c>
      <c r="H137" s="3">
        <f t="shared" ref="H137:H200" si="35">E137/D137*100</f>
        <v>11.413043478260869</v>
      </c>
      <c r="P137"/>
      <c r="Q137"/>
      <c r="R137"/>
    </row>
    <row r="138" spans="1:28" x14ac:dyDescent="0.25">
      <c r="A138" s="1">
        <v>43975</v>
      </c>
      <c r="B138" t="s">
        <v>5</v>
      </c>
      <c r="C138">
        <v>4713</v>
      </c>
      <c r="D138">
        <v>225</v>
      </c>
      <c r="E138">
        <v>15</v>
      </c>
      <c r="F138" s="3">
        <f t="shared" si="33"/>
        <v>4.7740292807129219</v>
      </c>
      <c r="G138" s="3">
        <f t="shared" si="34"/>
        <v>0.31826861871419476</v>
      </c>
      <c r="H138" s="3">
        <f t="shared" si="35"/>
        <v>6.666666666666667</v>
      </c>
      <c r="P138"/>
      <c r="Q138"/>
      <c r="R138"/>
    </row>
    <row r="139" spans="1:28" x14ac:dyDescent="0.25">
      <c r="A139" s="1">
        <v>43982</v>
      </c>
      <c r="B139" t="s">
        <v>5</v>
      </c>
      <c r="C139">
        <v>4530</v>
      </c>
      <c r="D139">
        <v>221</v>
      </c>
      <c r="E139">
        <v>18</v>
      </c>
      <c r="F139" s="3">
        <f t="shared" si="33"/>
        <v>4.8785871964679917</v>
      </c>
      <c r="G139" s="3">
        <f t="shared" si="34"/>
        <v>0.39735099337748342</v>
      </c>
      <c r="H139" s="3">
        <f t="shared" si="35"/>
        <v>8.1447963800904972</v>
      </c>
      <c r="P139">
        <f>SUM(C139:C142)</f>
        <v>16932</v>
      </c>
      <c r="Q139">
        <f>SUM(D139:D142)</f>
        <v>810</v>
      </c>
      <c r="R139">
        <f>SUM(E139:E142)</f>
        <v>85</v>
      </c>
      <c r="S139" s="3">
        <f t="shared" ref="S139:S199" si="36">Q139/P139*100</f>
        <v>4.78384124734231</v>
      </c>
      <c r="T139" s="3">
        <f t="shared" ref="T139:T199" si="37">R139/P139*100</f>
        <v>0.50200803212851408</v>
      </c>
      <c r="U139" s="3">
        <f t="shared" ref="U139:U199" si="38">R139/Q139*100</f>
        <v>10.493827160493826</v>
      </c>
    </row>
    <row r="140" spans="1:28" x14ac:dyDescent="0.25">
      <c r="A140" s="1">
        <v>43989</v>
      </c>
      <c r="B140" t="s">
        <v>5</v>
      </c>
      <c r="C140">
        <v>4304</v>
      </c>
      <c r="D140">
        <v>202</v>
      </c>
      <c r="E140">
        <v>27</v>
      </c>
      <c r="F140" s="3">
        <f t="shared" si="33"/>
        <v>4.6933085501858738</v>
      </c>
      <c r="G140" s="3">
        <f t="shared" si="34"/>
        <v>0.62732342007434949</v>
      </c>
      <c r="H140" s="3">
        <f t="shared" si="35"/>
        <v>13.366336633663368</v>
      </c>
      <c r="P140"/>
      <c r="Q140"/>
      <c r="R140"/>
    </row>
    <row r="141" spans="1:28" x14ac:dyDescent="0.25">
      <c r="A141" s="1">
        <v>43996</v>
      </c>
      <c r="B141" t="s">
        <v>5</v>
      </c>
      <c r="C141">
        <v>4197</v>
      </c>
      <c r="D141">
        <v>203</v>
      </c>
      <c r="E141">
        <v>17</v>
      </c>
      <c r="F141" s="3">
        <f t="shared" si="33"/>
        <v>4.8367881820347867</v>
      </c>
      <c r="G141" s="3">
        <f t="shared" si="34"/>
        <v>0.40505122706695257</v>
      </c>
      <c r="H141" s="3">
        <f t="shared" si="35"/>
        <v>8.3743842364532011</v>
      </c>
      <c r="P141"/>
      <c r="Q141"/>
      <c r="R141"/>
    </row>
    <row r="142" spans="1:28" x14ac:dyDescent="0.25">
      <c r="A142" s="1">
        <v>44003</v>
      </c>
      <c r="B142" t="s">
        <v>5</v>
      </c>
      <c r="C142">
        <v>3901</v>
      </c>
      <c r="D142">
        <v>184</v>
      </c>
      <c r="E142">
        <v>23</v>
      </c>
      <c r="F142" s="3">
        <f t="shared" si="33"/>
        <v>4.7167392976159963</v>
      </c>
      <c r="G142" s="3">
        <f t="shared" si="34"/>
        <v>0.58959241220199954</v>
      </c>
      <c r="H142" s="3">
        <f t="shared" si="35"/>
        <v>12.5</v>
      </c>
      <c r="P142"/>
      <c r="Q142"/>
      <c r="R142"/>
    </row>
    <row r="143" spans="1:28" x14ac:dyDescent="0.25">
      <c r="A143" s="1">
        <v>44010</v>
      </c>
      <c r="B143" t="s">
        <v>5</v>
      </c>
      <c r="C143">
        <v>4489</v>
      </c>
      <c r="D143">
        <v>160</v>
      </c>
      <c r="E143">
        <v>18</v>
      </c>
      <c r="F143" s="3">
        <f t="shared" si="33"/>
        <v>3.5642682111828918</v>
      </c>
      <c r="G143" s="3">
        <f t="shared" si="34"/>
        <v>0.40098017375807526</v>
      </c>
      <c r="H143" s="3">
        <f t="shared" si="35"/>
        <v>11.25</v>
      </c>
      <c r="P143">
        <f>SUM(C143:C146)</f>
        <v>17672</v>
      </c>
      <c r="Q143">
        <f>SUM(D143:D146)</f>
        <v>718</v>
      </c>
      <c r="R143">
        <f>SUM(E143:E146)</f>
        <v>82</v>
      </c>
      <c r="S143" s="3">
        <f t="shared" si="36"/>
        <v>4.0629244001810774</v>
      </c>
      <c r="T143" s="3">
        <f t="shared" si="37"/>
        <v>0.46401086464463559</v>
      </c>
      <c r="U143" s="3">
        <f t="shared" si="38"/>
        <v>11.420612813370473</v>
      </c>
    </row>
    <row r="144" spans="1:28" x14ac:dyDescent="0.25">
      <c r="A144" s="1">
        <v>44017</v>
      </c>
      <c r="B144" t="s">
        <v>5</v>
      </c>
      <c r="C144">
        <v>4716</v>
      </c>
      <c r="D144">
        <v>191</v>
      </c>
      <c r="E144">
        <v>26</v>
      </c>
      <c r="F144" s="3">
        <f t="shared" si="33"/>
        <v>4.0500424088210352</v>
      </c>
      <c r="G144" s="3">
        <f t="shared" si="34"/>
        <v>0.55131467345207796</v>
      </c>
      <c r="H144" s="3">
        <f t="shared" si="35"/>
        <v>13.612565445026178</v>
      </c>
      <c r="P144"/>
      <c r="Q144"/>
      <c r="R144"/>
    </row>
    <row r="145" spans="1:21" x14ac:dyDescent="0.25">
      <c r="A145" s="1">
        <v>44024</v>
      </c>
      <c r="B145" t="s">
        <v>5</v>
      </c>
      <c r="C145">
        <v>4252</v>
      </c>
      <c r="D145">
        <v>183</v>
      </c>
      <c r="E145">
        <v>17</v>
      </c>
      <c r="F145" s="3">
        <f t="shared" si="33"/>
        <v>4.3038570084666032</v>
      </c>
      <c r="G145" s="3">
        <f t="shared" si="34"/>
        <v>0.39981185324553153</v>
      </c>
      <c r="H145" s="3">
        <f t="shared" si="35"/>
        <v>9.2896174863387984</v>
      </c>
      <c r="P145"/>
      <c r="Q145"/>
      <c r="R145"/>
    </row>
    <row r="146" spans="1:21" x14ac:dyDescent="0.25">
      <c r="A146" s="1">
        <v>44031</v>
      </c>
      <c r="B146" t="s">
        <v>5</v>
      </c>
      <c r="C146">
        <v>4215</v>
      </c>
      <c r="D146">
        <v>184</v>
      </c>
      <c r="E146">
        <v>21</v>
      </c>
      <c r="F146" s="3">
        <f t="shared" si="33"/>
        <v>4.3653618030842232</v>
      </c>
      <c r="G146" s="3">
        <f t="shared" si="34"/>
        <v>0.49822064056939502</v>
      </c>
      <c r="H146" s="3">
        <f t="shared" si="35"/>
        <v>11.413043478260869</v>
      </c>
      <c r="P146"/>
      <c r="Q146"/>
      <c r="R146"/>
    </row>
    <row r="147" spans="1:21" x14ac:dyDescent="0.25">
      <c r="A147" s="1">
        <v>44038</v>
      </c>
      <c r="B147" t="s">
        <v>5</v>
      </c>
      <c r="C147">
        <v>4106</v>
      </c>
      <c r="D147">
        <v>193</v>
      </c>
      <c r="E147">
        <v>21</v>
      </c>
      <c r="F147" s="3">
        <f t="shared" si="33"/>
        <v>4.700438382854359</v>
      </c>
      <c r="G147" s="3">
        <f t="shared" si="34"/>
        <v>0.51144666341938627</v>
      </c>
      <c r="H147" s="3">
        <f t="shared" si="35"/>
        <v>10.880829015544041</v>
      </c>
      <c r="P147">
        <f>SUM(C147:C150)</f>
        <v>16331</v>
      </c>
      <c r="Q147">
        <f>SUM(D147:D150)</f>
        <v>763</v>
      </c>
      <c r="R147">
        <f>SUM(E147:E150)</f>
        <v>90</v>
      </c>
      <c r="S147" s="3">
        <f t="shared" si="36"/>
        <v>4.6720960137162457</v>
      </c>
      <c r="T147" s="3">
        <f t="shared" si="37"/>
        <v>0.55109913661135268</v>
      </c>
      <c r="U147" s="3">
        <f t="shared" si="38"/>
        <v>11.795543905635649</v>
      </c>
    </row>
    <row r="148" spans="1:21" x14ac:dyDescent="0.25">
      <c r="A148" s="1">
        <v>44045</v>
      </c>
      <c r="B148" t="s">
        <v>5</v>
      </c>
      <c r="C148">
        <v>3996</v>
      </c>
      <c r="D148">
        <v>173</v>
      </c>
      <c r="E148">
        <v>21</v>
      </c>
      <c r="F148" s="3">
        <f t="shared" si="33"/>
        <v>4.3293293293293296</v>
      </c>
      <c r="G148" s="3">
        <f t="shared" si="34"/>
        <v>0.52552552552552556</v>
      </c>
      <c r="H148" s="3">
        <f t="shared" si="35"/>
        <v>12.138728323699421</v>
      </c>
      <c r="I148">
        <f>SUM(C148:C160)</f>
        <v>55092</v>
      </c>
      <c r="J148">
        <f>SUM(D148:D160)</f>
        <v>2501</v>
      </c>
      <c r="K148">
        <f>SUM(E148:E160)</f>
        <v>304</v>
      </c>
      <c r="L148">
        <v>100</v>
      </c>
      <c r="M148" s="3">
        <f>J148/I148*100</f>
        <v>4.5396790822623974</v>
      </c>
      <c r="N148" s="3">
        <f>K148/I148*100</f>
        <v>0.55180425470122707</v>
      </c>
      <c r="O148" s="3">
        <f t="shared" ref="O148" si="39">K148/J148*100</f>
        <v>12.155137944822071</v>
      </c>
      <c r="P148"/>
      <c r="Q148"/>
      <c r="R148"/>
    </row>
    <row r="149" spans="1:21" x14ac:dyDescent="0.25">
      <c r="A149" s="1">
        <v>44052</v>
      </c>
      <c r="B149" t="s">
        <v>5</v>
      </c>
      <c r="C149">
        <v>4157</v>
      </c>
      <c r="D149">
        <v>209</v>
      </c>
      <c r="E149">
        <v>23</v>
      </c>
      <c r="F149" s="3">
        <f t="shared" si="33"/>
        <v>5.0276641808996869</v>
      </c>
      <c r="G149" s="3">
        <f t="shared" si="34"/>
        <v>0.55328361799374548</v>
      </c>
      <c r="H149" s="3">
        <f t="shared" si="35"/>
        <v>11.004784688995215</v>
      </c>
      <c r="P149"/>
      <c r="Q149"/>
      <c r="R149"/>
    </row>
    <row r="150" spans="1:21" x14ac:dyDescent="0.25">
      <c r="A150" s="1">
        <v>44059</v>
      </c>
      <c r="B150" t="s">
        <v>5</v>
      </c>
      <c r="C150">
        <v>4072</v>
      </c>
      <c r="D150">
        <v>188</v>
      </c>
      <c r="E150">
        <v>25</v>
      </c>
      <c r="F150" s="3">
        <f t="shared" si="33"/>
        <v>4.6168958742632613</v>
      </c>
      <c r="G150" s="3">
        <f t="shared" si="34"/>
        <v>0.61394891944990171</v>
      </c>
      <c r="H150" s="3">
        <f t="shared" si="35"/>
        <v>13.297872340425531</v>
      </c>
      <c r="P150"/>
      <c r="Q150"/>
      <c r="R150"/>
    </row>
    <row r="151" spans="1:21" x14ac:dyDescent="0.25">
      <c r="A151" s="1">
        <v>44066</v>
      </c>
      <c r="B151" t="s">
        <v>5</v>
      </c>
      <c r="C151">
        <v>4096</v>
      </c>
      <c r="D151">
        <v>208</v>
      </c>
      <c r="E151">
        <v>40</v>
      </c>
      <c r="F151" s="3">
        <f t="shared" si="33"/>
        <v>5.078125</v>
      </c>
      <c r="G151" s="3">
        <f t="shared" si="34"/>
        <v>0.9765625</v>
      </c>
      <c r="H151" s="3">
        <f t="shared" si="35"/>
        <v>19.230769230769234</v>
      </c>
      <c r="P151">
        <f>SUM(C151:C154)</f>
        <v>17047</v>
      </c>
      <c r="Q151">
        <f>SUM(D151:D154)</f>
        <v>802</v>
      </c>
      <c r="R151">
        <f>SUM(E151:E154)</f>
        <v>118</v>
      </c>
      <c r="S151" s="3">
        <f t="shared" si="36"/>
        <v>4.7046401126297885</v>
      </c>
      <c r="T151" s="3">
        <f t="shared" si="37"/>
        <v>0.69220390684577926</v>
      </c>
      <c r="U151" s="3">
        <f t="shared" si="38"/>
        <v>14.713216957605985</v>
      </c>
    </row>
    <row r="152" spans="1:21" x14ac:dyDescent="0.25">
      <c r="A152" s="1">
        <v>44073</v>
      </c>
      <c r="B152" t="s">
        <v>5</v>
      </c>
      <c r="C152">
        <v>4654</v>
      </c>
      <c r="D152">
        <v>212</v>
      </c>
      <c r="E152">
        <v>29</v>
      </c>
      <c r="F152" s="3">
        <f t="shared" si="33"/>
        <v>4.5552213149978513</v>
      </c>
      <c r="G152" s="3">
        <f t="shared" si="34"/>
        <v>0.62311989686291369</v>
      </c>
      <c r="H152" s="3">
        <f t="shared" si="35"/>
        <v>13.679245283018867</v>
      </c>
      <c r="P152"/>
      <c r="Q152"/>
      <c r="R152"/>
    </row>
    <row r="153" spans="1:21" x14ac:dyDescent="0.25">
      <c r="A153" s="1">
        <v>44080</v>
      </c>
      <c r="B153" t="s">
        <v>5</v>
      </c>
      <c r="C153">
        <v>3988</v>
      </c>
      <c r="D153">
        <v>181</v>
      </c>
      <c r="E153">
        <v>24</v>
      </c>
      <c r="F153" s="3">
        <f t="shared" si="33"/>
        <v>4.5386158475426281</v>
      </c>
      <c r="G153" s="3">
        <f t="shared" si="34"/>
        <v>0.60180541624874617</v>
      </c>
      <c r="H153" s="3">
        <f t="shared" si="35"/>
        <v>13.259668508287293</v>
      </c>
      <c r="P153"/>
      <c r="Q153"/>
      <c r="R153"/>
    </row>
    <row r="154" spans="1:21" x14ac:dyDescent="0.25">
      <c r="A154" s="1">
        <v>44087</v>
      </c>
      <c r="B154" t="s">
        <v>5</v>
      </c>
      <c r="C154">
        <v>4309</v>
      </c>
      <c r="D154">
        <v>201</v>
      </c>
      <c r="E154">
        <v>25</v>
      </c>
      <c r="F154" s="3">
        <f t="shared" si="33"/>
        <v>4.6646553724762123</v>
      </c>
      <c r="G154" s="3">
        <f t="shared" si="34"/>
        <v>0.58018101647714082</v>
      </c>
      <c r="H154" s="3">
        <f t="shared" si="35"/>
        <v>12.437810945273633</v>
      </c>
      <c r="P154"/>
      <c r="Q154"/>
      <c r="R154"/>
    </row>
    <row r="155" spans="1:21" x14ac:dyDescent="0.25">
      <c r="A155" s="1">
        <v>44094</v>
      </c>
      <c r="B155" t="s">
        <v>5</v>
      </c>
      <c r="C155">
        <v>4657</v>
      </c>
      <c r="D155">
        <v>167</v>
      </c>
      <c r="E155">
        <v>19</v>
      </c>
      <c r="F155" s="3">
        <f t="shared" si="33"/>
        <v>3.585999570538974</v>
      </c>
      <c r="G155" s="3">
        <f t="shared" si="34"/>
        <v>0.40798797509126045</v>
      </c>
      <c r="H155" s="3">
        <f t="shared" si="35"/>
        <v>11.377245508982035</v>
      </c>
      <c r="P155">
        <f>SUM(C155:C158)</f>
        <v>17898</v>
      </c>
      <c r="Q155">
        <f>SUM(D155:D158)</f>
        <v>716</v>
      </c>
      <c r="R155">
        <f>SUM(E155:E158)</f>
        <v>70</v>
      </c>
      <c r="S155" s="3">
        <f t="shared" si="36"/>
        <v>4.0004469773159013</v>
      </c>
      <c r="T155" s="3">
        <f t="shared" si="37"/>
        <v>0.39110515141356572</v>
      </c>
      <c r="U155" s="3">
        <f t="shared" si="38"/>
        <v>9.7765363128491618</v>
      </c>
    </row>
    <row r="156" spans="1:21" x14ac:dyDescent="0.25">
      <c r="A156" s="1">
        <v>44101</v>
      </c>
      <c r="B156" t="s">
        <v>5</v>
      </c>
      <c r="C156">
        <v>4554</v>
      </c>
      <c r="D156">
        <v>193</v>
      </c>
      <c r="E156">
        <v>28</v>
      </c>
      <c r="F156" s="3">
        <f t="shared" si="33"/>
        <v>4.2380324989020641</v>
      </c>
      <c r="G156" s="3">
        <f t="shared" si="34"/>
        <v>0.61484409310496269</v>
      </c>
      <c r="H156" s="3">
        <f t="shared" si="35"/>
        <v>14.507772020725387</v>
      </c>
      <c r="P156"/>
      <c r="Q156"/>
      <c r="R156"/>
    </row>
    <row r="157" spans="1:21" x14ac:dyDescent="0.25">
      <c r="A157" s="1">
        <v>44108</v>
      </c>
      <c r="B157" t="s">
        <v>5</v>
      </c>
      <c r="C157">
        <v>4801</v>
      </c>
      <c r="D157">
        <v>208</v>
      </c>
      <c r="E157">
        <v>23</v>
      </c>
      <c r="F157" s="3">
        <f t="shared" si="33"/>
        <v>4.3324307435950846</v>
      </c>
      <c r="G157" s="3">
        <f t="shared" si="34"/>
        <v>0.47906686107061025</v>
      </c>
      <c r="H157" s="3">
        <f t="shared" si="35"/>
        <v>11.057692307692307</v>
      </c>
      <c r="P157"/>
      <c r="Q157"/>
      <c r="R157"/>
    </row>
    <row r="158" spans="1:21" x14ac:dyDescent="0.25">
      <c r="A158" s="1">
        <v>44115</v>
      </c>
      <c r="B158" t="s">
        <v>5</v>
      </c>
      <c r="C158">
        <v>3886</v>
      </c>
      <c r="D158">
        <v>148</v>
      </c>
      <c r="E158">
        <v>0</v>
      </c>
      <c r="F158" s="3">
        <f t="shared" si="33"/>
        <v>3.8085434894493049</v>
      </c>
      <c r="G158" s="3">
        <f t="shared" si="34"/>
        <v>0</v>
      </c>
      <c r="H158" s="3">
        <f t="shared" si="35"/>
        <v>0</v>
      </c>
      <c r="P158"/>
      <c r="Q158"/>
      <c r="R158"/>
    </row>
    <row r="159" spans="1:21" x14ac:dyDescent="0.25">
      <c r="A159" s="1">
        <v>44122</v>
      </c>
      <c r="B159" t="s">
        <v>5</v>
      </c>
      <c r="C159">
        <v>4028</v>
      </c>
      <c r="D159">
        <v>197</v>
      </c>
      <c r="E159">
        <v>22</v>
      </c>
      <c r="F159" s="3">
        <f t="shared" si="33"/>
        <v>4.8907646474677264</v>
      </c>
      <c r="G159" s="3">
        <f t="shared" si="34"/>
        <v>0.54617676266137039</v>
      </c>
      <c r="H159" s="3">
        <f t="shared" si="35"/>
        <v>11.167512690355331</v>
      </c>
      <c r="P159">
        <f>SUM(C159:C162)</f>
        <v>15943</v>
      </c>
      <c r="Q159">
        <f>SUM(D159:D162)</f>
        <v>743</v>
      </c>
      <c r="R159">
        <f>SUM(E159:E162)</f>
        <v>83</v>
      </c>
      <c r="S159" s="3">
        <f t="shared" si="36"/>
        <v>4.6603525058019191</v>
      </c>
      <c r="T159" s="3">
        <f t="shared" si="37"/>
        <v>0.52060465408016054</v>
      </c>
      <c r="U159" s="3">
        <f t="shared" si="38"/>
        <v>11.170928667563929</v>
      </c>
    </row>
    <row r="160" spans="1:21" x14ac:dyDescent="0.25">
      <c r="A160" s="1">
        <v>44129</v>
      </c>
      <c r="B160" t="s">
        <v>5</v>
      </c>
      <c r="C160">
        <v>3894</v>
      </c>
      <c r="D160">
        <v>216</v>
      </c>
      <c r="E160">
        <v>25</v>
      </c>
      <c r="F160" s="3">
        <f t="shared" si="33"/>
        <v>5.5469953775038521</v>
      </c>
      <c r="G160" s="3">
        <f t="shared" si="34"/>
        <v>0.6420133538777606</v>
      </c>
      <c r="H160" s="3">
        <f t="shared" si="35"/>
        <v>11.574074074074074</v>
      </c>
      <c r="P160"/>
      <c r="Q160"/>
      <c r="R160"/>
    </row>
    <row r="161" spans="1:28" x14ac:dyDescent="0.25">
      <c r="A161" s="1">
        <v>44136</v>
      </c>
      <c r="B161" t="s">
        <v>5</v>
      </c>
      <c r="C161">
        <v>3831</v>
      </c>
      <c r="D161">
        <v>159</v>
      </c>
      <c r="E161">
        <v>18</v>
      </c>
      <c r="F161" s="3">
        <f t="shared" si="33"/>
        <v>4.1503523884103366</v>
      </c>
      <c r="G161" s="3">
        <f t="shared" si="34"/>
        <v>0.46985121378230232</v>
      </c>
      <c r="H161" s="3">
        <f t="shared" si="35"/>
        <v>11.320754716981133</v>
      </c>
      <c r="I161">
        <f>SUM(C161:C173)</f>
        <v>57919</v>
      </c>
      <c r="J161">
        <f>SUM(D161:D173)</f>
        <v>2538</v>
      </c>
      <c r="K161">
        <f>SUM(E161:E173)</f>
        <v>290</v>
      </c>
      <c r="L161">
        <v>100</v>
      </c>
      <c r="M161" s="3">
        <f>J161/I161*100</f>
        <v>4.3819817331100328</v>
      </c>
      <c r="N161" s="3">
        <f>K161/I161*100</f>
        <v>0.50069925240421964</v>
      </c>
      <c r="O161" s="3">
        <f t="shared" ref="O161" si="40">K161/J161*100</f>
        <v>11.426319936958235</v>
      </c>
      <c r="P161"/>
      <c r="Q161"/>
      <c r="R161"/>
    </row>
    <row r="162" spans="1:28" x14ac:dyDescent="0.25">
      <c r="A162" s="1">
        <v>44143</v>
      </c>
      <c r="B162" t="s">
        <v>5</v>
      </c>
      <c r="C162">
        <v>4190</v>
      </c>
      <c r="D162">
        <v>171</v>
      </c>
      <c r="E162">
        <v>18</v>
      </c>
      <c r="F162" s="3">
        <f t="shared" si="33"/>
        <v>4.0811455847255367</v>
      </c>
      <c r="G162" s="3">
        <f t="shared" si="34"/>
        <v>0.42959427207637235</v>
      </c>
      <c r="H162" s="3">
        <f t="shared" si="35"/>
        <v>10.526315789473683</v>
      </c>
      <c r="P162"/>
      <c r="Q162"/>
      <c r="R162"/>
    </row>
    <row r="163" spans="1:28" x14ac:dyDescent="0.25">
      <c r="A163" s="1">
        <v>44150</v>
      </c>
      <c r="B163" t="s">
        <v>5</v>
      </c>
      <c r="C163">
        <v>4209</v>
      </c>
      <c r="D163">
        <v>204</v>
      </c>
      <c r="E163">
        <v>19</v>
      </c>
      <c r="F163" s="3">
        <f t="shared" si="33"/>
        <v>4.8467569493941554</v>
      </c>
      <c r="G163" s="3">
        <f t="shared" si="34"/>
        <v>0.45141363744357327</v>
      </c>
      <c r="H163" s="3">
        <f t="shared" si="35"/>
        <v>9.3137254901960791</v>
      </c>
      <c r="P163">
        <f>SUM(C163:C166)</f>
        <v>18317</v>
      </c>
      <c r="Q163">
        <f>SUM(D163:D166)</f>
        <v>815</v>
      </c>
      <c r="R163">
        <f>SUM(E163:E166)</f>
        <v>98</v>
      </c>
      <c r="S163" s="3">
        <f t="shared" si="36"/>
        <v>4.4494185729104112</v>
      </c>
      <c r="T163" s="3">
        <f t="shared" si="37"/>
        <v>0.53502211060763227</v>
      </c>
      <c r="U163" s="3">
        <f t="shared" si="38"/>
        <v>12.024539877300613</v>
      </c>
    </row>
    <row r="164" spans="1:28" x14ac:dyDescent="0.25">
      <c r="A164" s="1">
        <v>44157</v>
      </c>
      <c r="B164" t="s">
        <v>5</v>
      </c>
      <c r="C164">
        <v>4312</v>
      </c>
      <c r="D164">
        <v>189</v>
      </c>
      <c r="E164">
        <v>27</v>
      </c>
      <c r="F164" s="3">
        <f t="shared" si="33"/>
        <v>4.383116883116883</v>
      </c>
      <c r="G164" s="3">
        <f t="shared" si="34"/>
        <v>0.62615955473098328</v>
      </c>
      <c r="H164" s="3">
        <f t="shared" si="35"/>
        <v>14.285714285714285</v>
      </c>
      <c r="P164"/>
      <c r="Q164"/>
      <c r="R164"/>
    </row>
    <row r="165" spans="1:28" x14ac:dyDescent="0.25">
      <c r="A165" s="1">
        <v>44164</v>
      </c>
      <c r="B165" t="s">
        <v>5</v>
      </c>
      <c r="C165">
        <v>4600</v>
      </c>
      <c r="D165">
        <v>219</v>
      </c>
      <c r="E165">
        <v>28</v>
      </c>
      <c r="F165" s="3">
        <f t="shared" si="33"/>
        <v>4.7608695652173916</v>
      </c>
      <c r="G165" s="3">
        <f t="shared" si="34"/>
        <v>0.60869565217391308</v>
      </c>
      <c r="H165" s="3">
        <f t="shared" si="35"/>
        <v>12.785388127853881</v>
      </c>
      <c r="P165"/>
      <c r="Q165"/>
      <c r="R165"/>
      <c r="V165">
        <f>SUM(C165:C199)</f>
        <v>177390</v>
      </c>
      <c r="W165">
        <f>SUM(D165:D199)</f>
        <v>8157</v>
      </c>
      <c r="X165">
        <f>SUM(E165:E199)</f>
        <v>1041</v>
      </c>
      <c r="Y165">
        <v>100</v>
      </c>
      <c r="Z165" s="3">
        <f>W165/V165*100</f>
        <v>4.5983426348723153</v>
      </c>
      <c r="AA165" s="3">
        <f>X165/V165*100</f>
        <v>0.58684255031286991</v>
      </c>
      <c r="AB165" s="3">
        <f t="shared" ref="AB165" si="41">X165/W165*100</f>
        <v>12.762044869437291</v>
      </c>
    </row>
    <row r="166" spans="1:28" x14ac:dyDescent="0.25">
      <c r="A166" s="1">
        <v>44171</v>
      </c>
      <c r="B166" t="s">
        <v>5</v>
      </c>
      <c r="C166">
        <v>5196</v>
      </c>
      <c r="D166">
        <v>203</v>
      </c>
      <c r="E166">
        <v>24</v>
      </c>
      <c r="F166" s="3">
        <f t="shared" si="33"/>
        <v>3.9068514241724404</v>
      </c>
      <c r="G166" s="3">
        <f t="shared" si="34"/>
        <v>0.46189376443418012</v>
      </c>
      <c r="H166" s="3">
        <f t="shared" si="35"/>
        <v>11.822660098522167</v>
      </c>
      <c r="P166"/>
      <c r="Q166"/>
      <c r="R166"/>
    </row>
    <row r="167" spans="1:28" x14ac:dyDescent="0.25">
      <c r="A167" s="1">
        <v>44178</v>
      </c>
      <c r="B167" t="s">
        <v>5</v>
      </c>
      <c r="C167">
        <v>4916</v>
      </c>
      <c r="D167">
        <v>191</v>
      </c>
      <c r="E167">
        <v>14</v>
      </c>
      <c r="F167" s="3">
        <f t="shared" si="33"/>
        <v>3.8852725793327907</v>
      </c>
      <c r="G167" s="3">
        <f t="shared" si="34"/>
        <v>0.28478437754271768</v>
      </c>
      <c r="H167" s="3">
        <f t="shared" si="35"/>
        <v>7.3298429319371721</v>
      </c>
      <c r="P167">
        <f>SUM(C167:C170)</f>
        <v>16558</v>
      </c>
      <c r="Q167">
        <f>SUM(D167:D170)</f>
        <v>704</v>
      </c>
      <c r="R167">
        <f>SUM(E167:E170)</f>
        <v>70</v>
      </c>
      <c r="S167" s="3">
        <f t="shared" si="36"/>
        <v>4.2517212223698513</v>
      </c>
      <c r="T167" s="3">
        <f t="shared" si="37"/>
        <v>0.42275637154245677</v>
      </c>
      <c r="U167" s="3">
        <f t="shared" si="38"/>
        <v>9.9431818181818183</v>
      </c>
    </row>
    <row r="168" spans="1:28" x14ac:dyDescent="0.25">
      <c r="A168" s="1">
        <v>44185</v>
      </c>
      <c r="B168" t="s">
        <v>5</v>
      </c>
      <c r="C168">
        <v>3235</v>
      </c>
      <c r="D168">
        <v>126</v>
      </c>
      <c r="E168">
        <v>14</v>
      </c>
      <c r="F168" s="3">
        <f t="shared" si="33"/>
        <v>3.8948995363214842</v>
      </c>
      <c r="G168" s="3">
        <f t="shared" si="34"/>
        <v>0.43276661514683151</v>
      </c>
      <c r="H168" s="3">
        <f t="shared" si="35"/>
        <v>11.111111111111111</v>
      </c>
      <c r="P168"/>
      <c r="Q168"/>
      <c r="R168"/>
    </row>
    <row r="169" spans="1:28" x14ac:dyDescent="0.25">
      <c r="A169" s="1">
        <v>44192</v>
      </c>
      <c r="B169" t="s">
        <v>5</v>
      </c>
      <c r="C169">
        <v>3383</v>
      </c>
      <c r="D169">
        <v>135</v>
      </c>
      <c r="E169">
        <v>14</v>
      </c>
      <c r="F169" s="3">
        <f t="shared" si="33"/>
        <v>3.9905409399940881</v>
      </c>
      <c r="G169" s="3">
        <f t="shared" si="34"/>
        <v>0.41383387525864618</v>
      </c>
      <c r="H169" s="3">
        <f t="shared" si="35"/>
        <v>10.37037037037037</v>
      </c>
      <c r="P169"/>
      <c r="Q169"/>
      <c r="R169"/>
    </row>
    <row r="170" spans="1:28" x14ac:dyDescent="0.25">
      <c r="A170" s="1">
        <v>44199</v>
      </c>
      <c r="B170" t="s">
        <v>5</v>
      </c>
      <c r="C170">
        <v>5024</v>
      </c>
      <c r="D170">
        <v>252</v>
      </c>
      <c r="E170">
        <v>28</v>
      </c>
      <c r="F170" s="3">
        <f t="shared" si="33"/>
        <v>5.015923566878981</v>
      </c>
      <c r="G170" s="3">
        <f t="shared" si="34"/>
        <v>0.5573248407643312</v>
      </c>
      <c r="H170" s="3">
        <f t="shared" si="35"/>
        <v>11.111111111111111</v>
      </c>
      <c r="P170"/>
      <c r="Q170"/>
      <c r="R170"/>
    </row>
    <row r="171" spans="1:28" x14ac:dyDescent="0.25">
      <c r="A171" s="1">
        <v>44206</v>
      </c>
      <c r="B171" t="s">
        <v>5</v>
      </c>
      <c r="C171">
        <v>4967</v>
      </c>
      <c r="D171">
        <v>221</v>
      </c>
      <c r="E171">
        <v>38</v>
      </c>
      <c r="F171" s="3">
        <f t="shared" si="33"/>
        <v>4.4493658143748744</v>
      </c>
      <c r="G171" s="3">
        <f t="shared" si="34"/>
        <v>0.76504932554862093</v>
      </c>
      <c r="H171" s="3">
        <f t="shared" si="35"/>
        <v>17.194570135746606</v>
      </c>
      <c r="P171">
        <f>SUM(C171:C174)</f>
        <v>20983</v>
      </c>
      <c r="Q171">
        <f>SUM(D171:D174)</f>
        <v>977</v>
      </c>
      <c r="R171">
        <f>SUM(E171:E174)</f>
        <v>131</v>
      </c>
      <c r="S171" s="3">
        <f t="shared" si="36"/>
        <v>4.6561502168422058</v>
      </c>
      <c r="T171" s="3">
        <f t="shared" si="37"/>
        <v>0.62431492160320257</v>
      </c>
      <c r="U171" s="3">
        <f t="shared" si="38"/>
        <v>13.408393039918117</v>
      </c>
    </row>
    <row r="172" spans="1:28" x14ac:dyDescent="0.25">
      <c r="A172" s="1">
        <v>44213</v>
      </c>
      <c r="B172" t="s">
        <v>5</v>
      </c>
      <c r="C172">
        <v>4824</v>
      </c>
      <c r="D172">
        <v>207</v>
      </c>
      <c r="E172">
        <v>31</v>
      </c>
      <c r="F172" s="3">
        <f t="shared" si="33"/>
        <v>4.2910447761194028</v>
      </c>
      <c r="G172" s="3">
        <f t="shared" si="34"/>
        <v>0.642620232172471</v>
      </c>
      <c r="H172" s="3">
        <f t="shared" si="35"/>
        <v>14.975845410628018</v>
      </c>
      <c r="P172"/>
      <c r="Q172"/>
      <c r="R172"/>
    </row>
    <row r="173" spans="1:28" x14ac:dyDescent="0.25">
      <c r="A173" s="1">
        <v>44220</v>
      </c>
      <c r="B173" t="s">
        <v>5</v>
      </c>
      <c r="C173">
        <v>5232</v>
      </c>
      <c r="D173">
        <v>261</v>
      </c>
      <c r="E173">
        <v>17</v>
      </c>
      <c r="F173" s="3">
        <f t="shared" si="33"/>
        <v>4.988532110091743</v>
      </c>
      <c r="G173" s="3">
        <f t="shared" si="34"/>
        <v>0.32492354740061163</v>
      </c>
      <c r="H173" s="3">
        <f t="shared" si="35"/>
        <v>6.5134099616858236</v>
      </c>
      <c r="P173"/>
      <c r="Q173"/>
      <c r="R173"/>
    </row>
    <row r="174" spans="1:28" x14ac:dyDescent="0.25">
      <c r="A174" s="1">
        <v>44227</v>
      </c>
      <c r="B174" t="s">
        <v>5</v>
      </c>
      <c r="C174">
        <v>5960</v>
      </c>
      <c r="D174">
        <v>288</v>
      </c>
      <c r="E174">
        <v>45</v>
      </c>
      <c r="F174" s="3">
        <f t="shared" si="33"/>
        <v>4.8322147651006713</v>
      </c>
      <c r="G174" s="3">
        <f t="shared" si="34"/>
        <v>0.75503355704697994</v>
      </c>
      <c r="H174" s="3">
        <f t="shared" si="35"/>
        <v>15.625</v>
      </c>
      <c r="I174">
        <f>SUM(C174:C186)</f>
        <v>78144</v>
      </c>
      <c r="J174">
        <f>SUM(D174:D186)</f>
        <v>3624</v>
      </c>
      <c r="K174">
        <f>SUM(E174:E186)</f>
        <v>468</v>
      </c>
      <c r="L174">
        <v>100</v>
      </c>
      <c r="M174" s="3">
        <f>J174/I174*100</f>
        <v>4.6375921375921374</v>
      </c>
      <c r="N174" s="3">
        <f>K174/I174*100</f>
        <v>0.59889434889434889</v>
      </c>
      <c r="O174" s="3">
        <f t="shared" ref="O174" si="42">K174/J174*100</f>
        <v>12.913907284768211</v>
      </c>
      <c r="P174"/>
      <c r="Q174"/>
      <c r="R174"/>
    </row>
    <row r="175" spans="1:28" x14ac:dyDescent="0.25">
      <c r="A175" s="1">
        <v>44234</v>
      </c>
      <c r="B175" t="s">
        <v>5</v>
      </c>
      <c r="C175">
        <v>6089</v>
      </c>
      <c r="D175">
        <v>271</v>
      </c>
      <c r="E175">
        <v>37</v>
      </c>
      <c r="F175" s="3">
        <f t="shared" si="33"/>
        <v>4.4506487107899488</v>
      </c>
      <c r="G175" s="3">
        <f t="shared" si="34"/>
        <v>0.60765314501560186</v>
      </c>
      <c r="H175" s="3">
        <f t="shared" si="35"/>
        <v>13.653136531365314</v>
      </c>
      <c r="P175">
        <f>SUM(C175:C178)</f>
        <v>26405</v>
      </c>
      <c r="Q175">
        <f>SUM(D175:D178)</f>
        <v>1104</v>
      </c>
      <c r="R175">
        <f>SUM(E175:E178)</f>
        <v>167</v>
      </c>
      <c r="S175" s="3">
        <f t="shared" si="36"/>
        <v>4.1810263207725811</v>
      </c>
      <c r="T175" s="3">
        <f t="shared" si="37"/>
        <v>0.63245597424730171</v>
      </c>
      <c r="U175" s="3">
        <f t="shared" si="38"/>
        <v>15.126811594202898</v>
      </c>
    </row>
    <row r="176" spans="1:28" x14ac:dyDescent="0.25">
      <c r="A176" s="1">
        <v>44241</v>
      </c>
      <c r="B176" t="s">
        <v>5</v>
      </c>
      <c r="C176">
        <v>7414</v>
      </c>
      <c r="D176">
        <v>250</v>
      </c>
      <c r="E176">
        <v>34</v>
      </c>
      <c r="F176" s="3">
        <f t="shared" si="33"/>
        <v>3.3719989209603449</v>
      </c>
      <c r="G176" s="3">
        <f t="shared" si="34"/>
        <v>0.45859185325060692</v>
      </c>
      <c r="H176" s="3">
        <f t="shared" si="35"/>
        <v>13.600000000000001</v>
      </c>
      <c r="P176"/>
      <c r="Q176"/>
      <c r="R176"/>
    </row>
    <row r="177" spans="1:21" x14ac:dyDescent="0.25">
      <c r="A177" s="1">
        <v>44248</v>
      </c>
      <c r="B177" t="s">
        <v>5</v>
      </c>
      <c r="C177">
        <v>6428</v>
      </c>
      <c r="D177">
        <v>300</v>
      </c>
      <c r="E177">
        <v>39</v>
      </c>
      <c r="F177" s="3">
        <f t="shared" si="33"/>
        <v>4.667081518357187</v>
      </c>
      <c r="G177" s="3">
        <f t="shared" si="34"/>
        <v>0.60672059738643436</v>
      </c>
      <c r="H177" s="3">
        <f t="shared" si="35"/>
        <v>13</v>
      </c>
      <c r="P177"/>
      <c r="Q177"/>
      <c r="R177"/>
    </row>
    <row r="178" spans="1:21" x14ac:dyDescent="0.25">
      <c r="A178" s="1">
        <v>44255</v>
      </c>
      <c r="B178" t="s">
        <v>5</v>
      </c>
      <c r="C178">
        <v>6474</v>
      </c>
      <c r="D178">
        <v>283</v>
      </c>
      <c r="E178">
        <v>57</v>
      </c>
      <c r="F178" s="3">
        <f t="shared" si="33"/>
        <v>4.3713314797652147</v>
      </c>
      <c r="G178" s="3">
        <f t="shared" si="34"/>
        <v>0.88044485634847081</v>
      </c>
      <c r="H178" s="3">
        <f t="shared" si="35"/>
        <v>20.141342756183743</v>
      </c>
      <c r="P178"/>
      <c r="Q178"/>
      <c r="R178"/>
    </row>
    <row r="179" spans="1:21" x14ac:dyDescent="0.25">
      <c r="A179" s="1">
        <v>44262</v>
      </c>
      <c r="B179" t="s">
        <v>5</v>
      </c>
      <c r="C179">
        <v>6529</v>
      </c>
      <c r="D179">
        <v>322</v>
      </c>
      <c r="E179">
        <v>51</v>
      </c>
      <c r="F179" s="3">
        <f t="shared" si="33"/>
        <v>4.9318425486291932</v>
      </c>
      <c r="G179" s="3">
        <f t="shared" si="34"/>
        <v>0.78113034155307093</v>
      </c>
      <c r="H179" s="3">
        <f t="shared" si="35"/>
        <v>15.838509316770185</v>
      </c>
      <c r="P179">
        <f>SUM(C179:C182)</f>
        <v>23402</v>
      </c>
      <c r="Q179">
        <f>SUM(D179:D182)</f>
        <v>1157</v>
      </c>
      <c r="R179">
        <f>SUM(E179:E182)</f>
        <v>140</v>
      </c>
      <c r="S179" s="3">
        <f t="shared" si="36"/>
        <v>4.9440218784719256</v>
      </c>
      <c r="T179" s="3">
        <f t="shared" si="37"/>
        <v>0.59823946671224681</v>
      </c>
      <c r="U179" s="3">
        <f t="shared" si="38"/>
        <v>12.100259291270527</v>
      </c>
    </row>
    <row r="180" spans="1:21" x14ac:dyDescent="0.25">
      <c r="A180" s="1">
        <v>44269</v>
      </c>
      <c r="B180" t="s">
        <v>5</v>
      </c>
      <c r="C180">
        <v>6093</v>
      </c>
      <c r="D180">
        <v>311</v>
      </c>
      <c r="E180">
        <v>25</v>
      </c>
      <c r="F180" s="3">
        <f t="shared" si="33"/>
        <v>5.1042179550303626</v>
      </c>
      <c r="G180" s="3">
        <f t="shared" si="34"/>
        <v>0.41030690956835714</v>
      </c>
      <c r="H180" s="3">
        <f t="shared" si="35"/>
        <v>8.0385852090032159</v>
      </c>
      <c r="P180"/>
      <c r="Q180"/>
      <c r="R180"/>
    </row>
    <row r="181" spans="1:21" x14ac:dyDescent="0.25">
      <c r="A181" s="1">
        <v>44276</v>
      </c>
      <c r="B181" t="s">
        <v>5</v>
      </c>
      <c r="C181">
        <v>5671</v>
      </c>
      <c r="D181">
        <v>281</v>
      </c>
      <c r="E181">
        <v>33</v>
      </c>
      <c r="F181" s="3">
        <f t="shared" si="33"/>
        <v>4.9550343854699346</v>
      </c>
      <c r="G181" s="3">
        <f t="shared" si="34"/>
        <v>0.58190795274202078</v>
      </c>
      <c r="H181" s="3">
        <f t="shared" si="35"/>
        <v>11.743772241992882</v>
      </c>
      <c r="P181"/>
      <c r="Q181"/>
      <c r="R181"/>
    </row>
    <row r="182" spans="1:21" x14ac:dyDescent="0.25">
      <c r="A182" s="1">
        <v>44283</v>
      </c>
      <c r="B182" t="s">
        <v>5</v>
      </c>
      <c r="C182">
        <v>5109</v>
      </c>
      <c r="D182">
        <v>243</v>
      </c>
      <c r="E182">
        <v>31</v>
      </c>
      <c r="F182" s="3">
        <f t="shared" si="33"/>
        <v>4.7563123899001765</v>
      </c>
      <c r="G182" s="3">
        <f t="shared" si="34"/>
        <v>0.6067723624975534</v>
      </c>
      <c r="H182" s="3">
        <f t="shared" si="35"/>
        <v>12.757201646090536</v>
      </c>
      <c r="P182"/>
      <c r="Q182"/>
      <c r="R182"/>
    </row>
    <row r="183" spans="1:21" x14ac:dyDescent="0.25">
      <c r="A183" s="1">
        <v>44290</v>
      </c>
      <c r="B183" t="s">
        <v>5</v>
      </c>
      <c r="C183">
        <v>5579</v>
      </c>
      <c r="D183">
        <v>264</v>
      </c>
      <c r="E183">
        <v>32</v>
      </c>
      <c r="F183" s="3">
        <f t="shared" si="33"/>
        <v>4.7320308298978313</v>
      </c>
      <c r="G183" s="3">
        <f t="shared" si="34"/>
        <v>0.57357949453307044</v>
      </c>
      <c r="H183" s="3">
        <f t="shared" si="35"/>
        <v>12.121212121212121</v>
      </c>
      <c r="P183">
        <f>SUM(C183:C186)</f>
        <v>22377</v>
      </c>
      <c r="Q183">
        <f>SUM(D183:D186)</f>
        <v>1075</v>
      </c>
      <c r="R183">
        <f>SUM(E183:E186)</f>
        <v>116</v>
      </c>
      <c r="S183" s="3">
        <f t="shared" si="36"/>
        <v>4.804039862358672</v>
      </c>
      <c r="T183" s="3">
        <f t="shared" si="37"/>
        <v>0.51838941770567992</v>
      </c>
      <c r="U183" s="3">
        <f t="shared" si="38"/>
        <v>10.790697674418604</v>
      </c>
    </row>
    <row r="184" spans="1:21" x14ac:dyDescent="0.25">
      <c r="A184" s="1">
        <v>44297</v>
      </c>
      <c r="B184" t="s">
        <v>5</v>
      </c>
      <c r="C184">
        <v>5387</v>
      </c>
      <c r="D184">
        <v>278</v>
      </c>
      <c r="E184">
        <v>31</v>
      </c>
      <c r="F184" s="3">
        <f t="shared" si="33"/>
        <v>5.1605717467978467</v>
      </c>
      <c r="G184" s="3">
        <f t="shared" si="34"/>
        <v>0.57545943939112687</v>
      </c>
      <c r="H184" s="3">
        <f t="shared" si="35"/>
        <v>11.151079136690647</v>
      </c>
      <c r="P184"/>
      <c r="Q184"/>
      <c r="R184"/>
    </row>
    <row r="185" spans="1:21" x14ac:dyDescent="0.25">
      <c r="A185" s="1">
        <v>44304</v>
      </c>
      <c r="B185" t="s">
        <v>5</v>
      </c>
      <c r="C185">
        <v>5563</v>
      </c>
      <c r="D185">
        <v>277</v>
      </c>
      <c r="E185">
        <v>27</v>
      </c>
      <c r="F185" s="3">
        <f t="shared" si="33"/>
        <v>4.9793277008808197</v>
      </c>
      <c r="G185" s="3">
        <f t="shared" si="34"/>
        <v>0.48534963149379834</v>
      </c>
      <c r="H185" s="3">
        <f t="shared" si="35"/>
        <v>9.7472924187725631</v>
      </c>
      <c r="P185"/>
      <c r="Q185"/>
      <c r="R185"/>
    </row>
    <row r="186" spans="1:21" x14ac:dyDescent="0.25">
      <c r="A186" s="1">
        <v>44311</v>
      </c>
      <c r="B186" t="s">
        <v>5</v>
      </c>
      <c r="C186">
        <v>5848</v>
      </c>
      <c r="D186">
        <v>256</v>
      </c>
      <c r="E186">
        <v>26</v>
      </c>
      <c r="F186" s="3">
        <f t="shared" si="33"/>
        <v>4.3775649794801641</v>
      </c>
      <c r="G186" s="3">
        <f t="shared" si="34"/>
        <v>0.44459644322845415</v>
      </c>
      <c r="H186" s="3">
        <f t="shared" si="35"/>
        <v>10.15625</v>
      </c>
      <c r="P186"/>
      <c r="Q186"/>
      <c r="R186"/>
    </row>
    <row r="187" spans="1:21" x14ac:dyDescent="0.25">
      <c r="A187" s="1">
        <v>44318</v>
      </c>
      <c r="B187" t="s">
        <v>5</v>
      </c>
      <c r="C187">
        <v>5161</v>
      </c>
      <c r="D187">
        <v>231</v>
      </c>
      <c r="E187">
        <v>26</v>
      </c>
      <c r="F187" s="3">
        <f t="shared" si="33"/>
        <v>4.4758767680682032</v>
      </c>
      <c r="G187" s="3">
        <f t="shared" si="34"/>
        <v>0.50377833753148615</v>
      </c>
      <c r="H187" s="3">
        <f t="shared" si="35"/>
        <v>11.255411255411255</v>
      </c>
      <c r="I187">
        <f>SUM(C187:C199)</f>
        <v>57869</v>
      </c>
      <c r="J187">
        <f>SUM(D187:D199)</f>
        <v>2718</v>
      </c>
      <c r="K187">
        <f>SUM(E187:E199)</f>
        <v>365</v>
      </c>
      <c r="L187">
        <v>100</v>
      </c>
      <c r="M187" s="3">
        <f>J187/I187*100</f>
        <v>4.6968152205844236</v>
      </c>
      <c r="N187" s="3">
        <f>K187/I187*100</f>
        <v>0.63073493580327977</v>
      </c>
      <c r="O187" s="3">
        <f t="shared" ref="O187" si="43">K187/J187*100</f>
        <v>13.428991905813097</v>
      </c>
      <c r="P187">
        <f>SUM(C187:C190)</f>
        <v>19516</v>
      </c>
      <c r="Q187">
        <f>SUM(D187:D190)</f>
        <v>948</v>
      </c>
      <c r="R187">
        <f>SUM(E187:E190)</f>
        <v>119</v>
      </c>
      <c r="S187" s="3">
        <f t="shared" si="36"/>
        <v>4.8575527772084444</v>
      </c>
      <c r="T187" s="3">
        <f t="shared" si="37"/>
        <v>0.6097560975609756</v>
      </c>
      <c r="U187" s="3">
        <f t="shared" si="38"/>
        <v>12.552742616033754</v>
      </c>
    </row>
    <row r="188" spans="1:21" x14ac:dyDescent="0.25">
      <c r="A188" s="1">
        <v>44325</v>
      </c>
      <c r="B188" t="s">
        <v>5</v>
      </c>
      <c r="C188">
        <v>5148</v>
      </c>
      <c r="D188">
        <v>269</v>
      </c>
      <c r="E188">
        <v>28</v>
      </c>
      <c r="F188" s="3">
        <f t="shared" si="33"/>
        <v>5.2253302253302252</v>
      </c>
      <c r="G188" s="3">
        <f t="shared" si="34"/>
        <v>0.54390054390054388</v>
      </c>
      <c r="H188" s="3">
        <f t="shared" si="35"/>
        <v>10.408921933085502</v>
      </c>
      <c r="P188"/>
      <c r="Q188"/>
      <c r="R188"/>
    </row>
    <row r="189" spans="1:21" x14ac:dyDescent="0.25">
      <c r="A189" s="1">
        <v>44332</v>
      </c>
      <c r="B189" t="s">
        <v>5</v>
      </c>
      <c r="C189">
        <v>4716</v>
      </c>
      <c r="D189">
        <v>247</v>
      </c>
      <c r="E189">
        <v>28</v>
      </c>
      <c r="F189" s="3">
        <f t="shared" si="33"/>
        <v>5.2374893977947412</v>
      </c>
      <c r="G189" s="3">
        <f t="shared" si="34"/>
        <v>0.59372349448685324</v>
      </c>
      <c r="H189" s="3">
        <f t="shared" si="35"/>
        <v>11.336032388663968</v>
      </c>
      <c r="P189"/>
      <c r="Q189"/>
      <c r="R189"/>
    </row>
    <row r="190" spans="1:21" x14ac:dyDescent="0.25">
      <c r="A190" s="1">
        <v>44339</v>
      </c>
      <c r="B190" t="s">
        <v>5</v>
      </c>
      <c r="C190">
        <v>4491</v>
      </c>
      <c r="D190">
        <v>201</v>
      </c>
      <c r="E190">
        <v>37</v>
      </c>
      <c r="F190" s="3">
        <f t="shared" si="33"/>
        <v>4.4756179024716101</v>
      </c>
      <c r="G190" s="3">
        <f t="shared" si="34"/>
        <v>0.8238699621465152</v>
      </c>
      <c r="H190" s="3">
        <f t="shared" si="35"/>
        <v>18.407960199004975</v>
      </c>
      <c r="P190"/>
      <c r="Q190"/>
      <c r="R190"/>
    </row>
    <row r="191" spans="1:21" x14ac:dyDescent="0.25">
      <c r="A191" s="1">
        <v>44346</v>
      </c>
      <c r="B191" t="s">
        <v>5</v>
      </c>
      <c r="C191">
        <v>4739</v>
      </c>
      <c r="D191">
        <v>193</v>
      </c>
      <c r="E191">
        <v>32</v>
      </c>
      <c r="F191" s="3">
        <f t="shared" si="33"/>
        <v>4.0725891538299219</v>
      </c>
      <c r="G191" s="3">
        <f t="shared" si="34"/>
        <v>0.67524794260392484</v>
      </c>
      <c r="H191" s="3">
        <f t="shared" si="35"/>
        <v>16.580310880829018</v>
      </c>
      <c r="P191">
        <f>SUM(C191:C194)</f>
        <v>18165</v>
      </c>
      <c r="Q191">
        <f>SUM(D191:D194)</f>
        <v>795</v>
      </c>
      <c r="R191">
        <f>SUM(E191:E194)</f>
        <v>113</v>
      </c>
      <c r="S191" s="3">
        <f t="shared" si="36"/>
        <v>4.3765483071841453</v>
      </c>
      <c r="T191" s="3">
        <f t="shared" si="37"/>
        <v>0.62207541976328107</v>
      </c>
      <c r="U191" s="3">
        <f t="shared" si="38"/>
        <v>14.213836477987421</v>
      </c>
    </row>
    <row r="192" spans="1:21" x14ac:dyDescent="0.25">
      <c r="A192" s="1">
        <v>44353</v>
      </c>
      <c r="B192" t="s">
        <v>5</v>
      </c>
      <c r="C192">
        <v>4728</v>
      </c>
      <c r="D192">
        <v>201</v>
      </c>
      <c r="E192">
        <v>28</v>
      </c>
      <c r="F192" s="3">
        <f t="shared" si="33"/>
        <v>4.251269035532995</v>
      </c>
      <c r="G192" s="3">
        <f t="shared" si="34"/>
        <v>0.59221658206429784</v>
      </c>
      <c r="H192" s="3">
        <f t="shared" si="35"/>
        <v>13.930348258706468</v>
      </c>
      <c r="P192"/>
      <c r="Q192"/>
      <c r="R192"/>
    </row>
    <row r="193" spans="1:28" x14ac:dyDescent="0.25">
      <c r="A193" s="1">
        <v>44360</v>
      </c>
      <c r="B193" t="s">
        <v>5</v>
      </c>
      <c r="C193">
        <v>4595</v>
      </c>
      <c r="D193">
        <v>210</v>
      </c>
      <c r="E193">
        <v>29</v>
      </c>
      <c r="F193" s="3">
        <f t="shared" si="33"/>
        <v>4.5701849836779109</v>
      </c>
      <c r="G193" s="3">
        <f t="shared" si="34"/>
        <v>0.63112078346028289</v>
      </c>
      <c r="H193" s="3">
        <f t="shared" si="35"/>
        <v>13.80952380952381</v>
      </c>
      <c r="P193"/>
      <c r="Q193"/>
      <c r="R193"/>
    </row>
    <row r="194" spans="1:28" x14ac:dyDescent="0.25">
      <c r="A194" s="1">
        <v>44367</v>
      </c>
      <c r="B194" t="s">
        <v>5</v>
      </c>
      <c r="C194">
        <v>4103</v>
      </c>
      <c r="D194">
        <v>191</v>
      </c>
      <c r="E194">
        <v>24</v>
      </c>
      <c r="F194" s="3">
        <f t="shared" si="33"/>
        <v>4.6551303923958081</v>
      </c>
      <c r="G194" s="3">
        <f t="shared" si="34"/>
        <v>0.58493785035339996</v>
      </c>
      <c r="H194" s="3">
        <f t="shared" si="35"/>
        <v>12.56544502617801</v>
      </c>
      <c r="P194"/>
      <c r="Q194"/>
      <c r="R194"/>
    </row>
    <row r="195" spans="1:28" x14ac:dyDescent="0.25">
      <c r="A195" s="1">
        <v>44374</v>
      </c>
      <c r="B195" t="s">
        <v>5</v>
      </c>
      <c r="C195">
        <v>3496</v>
      </c>
      <c r="D195">
        <v>160</v>
      </c>
      <c r="E195">
        <v>22</v>
      </c>
      <c r="F195" s="3">
        <f t="shared" si="33"/>
        <v>4.5766590389016013</v>
      </c>
      <c r="G195" s="3">
        <f t="shared" si="34"/>
        <v>0.62929061784897022</v>
      </c>
      <c r="H195" s="3">
        <f t="shared" si="35"/>
        <v>13.750000000000002</v>
      </c>
      <c r="P195">
        <f>SUM(C195:C198)</f>
        <v>16621</v>
      </c>
      <c r="Q195">
        <f>SUM(D195:D198)</f>
        <v>787</v>
      </c>
      <c r="R195">
        <f>SUM(E195:E198)</f>
        <v>102</v>
      </c>
      <c r="S195" s="3">
        <f t="shared" si="36"/>
        <v>4.7349738282895135</v>
      </c>
      <c r="T195" s="3">
        <f t="shared" si="37"/>
        <v>0.61368148727513394</v>
      </c>
      <c r="U195" s="3">
        <f t="shared" si="38"/>
        <v>12.960609911054638</v>
      </c>
    </row>
    <row r="196" spans="1:28" x14ac:dyDescent="0.25">
      <c r="A196" s="1">
        <v>44381</v>
      </c>
      <c r="B196" t="s">
        <v>5</v>
      </c>
      <c r="C196">
        <v>4348</v>
      </c>
      <c r="D196">
        <v>188</v>
      </c>
      <c r="E196">
        <v>23</v>
      </c>
      <c r="F196" s="3">
        <f t="shared" si="33"/>
        <v>4.3238270469181233</v>
      </c>
      <c r="G196" s="3">
        <f t="shared" si="34"/>
        <v>0.52897884084636615</v>
      </c>
      <c r="H196" s="3">
        <f t="shared" si="35"/>
        <v>12.23404255319149</v>
      </c>
      <c r="P196"/>
      <c r="Q196"/>
      <c r="R196"/>
    </row>
    <row r="197" spans="1:28" x14ac:dyDescent="0.25">
      <c r="A197" s="1">
        <v>44388</v>
      </c>
      <c r="B197" t="s">
        <v>5</v>
      </c>
      <c r="C197">
        <v>4491</v>
      </c>
      <c r="D197">
        <v>215</v>
      </c>
      <c r="E197">
        <v>30</v>
      </c>
      <c r="F197" s="3">
        <f t="shared" si="33"/>
        <v>4.7873524827432643</v>
      </c>
      <c r="G197" s="3">
        <f t="shared" si="34"/>
        <v>0.66800267201068808</v>
      </c>
      <c r="H197" s="3">
        <f t="shared" si="35"/>
        <v>13.953488372093023</v>
      </c>
      <c r="P197"/>
      <c r="Q197"/>
      <c r="R197"/>
    </row>
    <row r="198" spans="1:28" x14ac:dyDescent="0.25">
      <c r="A198" s="1">
        <v>44395</v>
      </c>
      <c r="B198" t="s">
        <v>5</v>
      </c>
      <c r="C198">
        <v>4286</v>
      </c>
      <c r="D198">
        <v>224</v>
      </c>
      <c r="E198">
        <v>27</v>
      </c>
      <c r="F198" s="3">
        <f t="shared" si="33"/>
        <v>5.2263182454503028</v>
      </c>
      <c r="G198" s="3">
        <f t="shared" si="34"/>
        <v>0.62995800279981329</v>
      </c>
      <c r="H198" s="3">
        <f t="shared" si="35"/>
        <v>12.053571428571429</v>
      </c>
      <c r="P198"/>
      <c r="Q198"/>
      <c r="R198"/>
    </row>
    <row r="199" spans="1:28" x14ac:dyDescent="0.25">
      <c r="A199" s="1">
        <v>44402</v>
      </c>
      <c r="B199" t="s">
        <v>5</v>
      </c>
      <c r="C199">
        <v>3567</v>
      </c>
      <c r="D199">
        <v>188</v>
      </c>
      <c r="E199">
        <v>31</v>
      </c>
      <c r="F199" s="3">
        <f t="shared" si="33"/>
        <v>5.2705354639753299</v>
      </c>
      <c r="G199" s="3">
        <f t="shared" si="34"/>
        <v>0.86907765629380429</v>
      </c>
      <c r="H199" s="3">
        <f t="shared" si="35"/>
        <v>16.48936170212766</v>
      </c>
      <c r="P199">
        <f>SUM(C199:C202)</f>
        <v>15988</v>
      </c>
      <c r="Q199">
        <f>SUM(D199:D202)</f>
        <v>740</v>
      </c>
      <c r="R199">
        <f>SUM(E199:E202)</f>
        <v>108</v>
      </c>
      <c r="S199" s="3">
        <f t="shared" si="36"/>
        <v>4.6284713535151365</v>
      </c>
      <c r="T199" s="3">
        <f t="shared" si="37"/>
        <v>0.67550662997247934</v>
      </c>
      <c r="U199" s="3">
        <f t="shared" si="38"/>
        <v>14.594594594594595</v>
      </c>
    </row>
    <row r="200" spans="1:28" x14ac:dyDescent="0.25">
      <c r="A200" s="1">
        <v>44409</v>
      </c>
      <c r="B200" t="s">
        <v>5</v>
      </c>
      <c r="C200">
        <v>3547</v>
      </c>
      <c r="D200">
        <v>171</v>
      </c>
      <c r="E200">
        <v>23</v>
      </c>
      <c r="F200" s="3">
        <f t="shared" si="33"/>
        <v>4.8209754722300531</v>
      </c>
      <c r="G200" s="3">
        <f t="shared" si="34"/>
        <v>0.64843529743445161</v>
      </c>
      <c r="H200" s="3">
        <f t="shared" si="35"/>
        <v>13.450292397660817</v>
      </c>
      <c r="I200">
        <f>SUM(C200:C212)</f>
        <v>54386</v>
      </c>
      <c r="J200">
        <f>SUM(D200:D212)</f>
        <v>2351</v>
      </c>
      <c r="K200">
        <f>SUM(E200:E212)</f>
        <v>381</v>
      </c>
      <c r="L200">
        <v>100</v>
      </c>
      <c r="M200" s="3">
        <f>J200/I200*100</f>
        <v>4.3228036627073143</v>
      </c>
      <c r="N200" s="3">
        <f>K200/I200*100</f>
        <v>0.7005479351303644</v>
      </c>
      <c r="O200" s="3">
        <f t="shared" ref="O200" si="44">K200/J200*100</f>
        <v>16.20586984262016</v>
      </c>
      <c r="P200"/>
      <c r="Q200"/>
      <c r="R200"/>
      <c r="V200">
        <f>SUM(C200:C243)</f>
        <v>208358</v>
      </c>
      <c r="W200">
        <f>SUM(D200:D243)</f>
        <v>11477</v>
      </c>
      <c r="X200">
        <f>SUM(E200:E243)</f>
        <v>1695</v>
      </c>
      <c r="Y200">
        <v>100</v>
      </c>
      <c r="Z200" s="3">
        <f>W200/V200*100</f>
        <v>5.5083078163545434</v>
      </c>
      <c r="AA200" s="3">
        <f>X200/V200*100</f>
        <v>0.81350368116415028</v>
      </c>
      <c r="AB200" s="3">
        <f t="shared" ref="AB200" si="45">X200/W200*100</f>
        <v>14.768667770323255</v>
      </c>
    </row>
    <row r="201" spans="1:28" x14ac:dyDescent="0.25">
      <c r="A201" s="1">
        <v>44416</v>
      </c>
      <c r="B201" t="s">
        <v>5</v>
      </c>
      <c r="C201">
        <v>4584</v>
      </c>
      <c r="D201">
        <v>213</v>
      </c>
      <c r="E201">
        <v>33</v>
      </c>
      <c r="F201" s="3">
        <f t="shared" ref="F201:F256" si="46">D201/C201*100</f>
        <v>4.6465968586387438</v>
      </c>
      <c r="G201" s="3">
        <f t="shared" ref="G201:G256" si="47">E201/C201*100</f>
        <v>0.71989528795811519</v>
      </c>
      <c r="H201" s="3">
        <f t="shared" ref="H201:H256" si="48">E201/D201*100</f>
        <v>15.492957746478872</v>
      </c>
      <c r="P201"/>
      <c r="Q201"/>
      <c r="R201"/>
    </row>
    <row r="202" spans="1:28" x14ac:dyDescent="0.25">
      <c r="A202" s="1">
        <v>44423</v>
      </c>
      <c r="B202" t="s">
        <v>5</v>
      </c>
      <c r="C202">
        <v>4290</v>
      </c>
      <c r="D202">
        <v>168</v>
      </c>
      <c r="E202">
        <v>21</v>
      </c>
      <c r="F202" s="3">
        <f t="shared" si="46"/>
        <v>3.9160839160839163</v>
      </c>
      <c r="G202" s="3">
        <f t="shared" si="47"/>
        <v>0.48951048951048953</v>
      </c>
      <c r="H202" s="3">
        <f t="shared" si="48"/>
        <v>12.5</v>
      </c>
      <c r="P202"/>
      <c r="Q202"/>
      <c r="R202"/>
    </row>
    <row r="203" spans="1:28" x14ac:dyDescent="0.25">
      <c r="A203" s="1">
        <v>44430</v>
      </c>
      <c r="B203" t="s">
        <v>5</v>
      </c>
      <c r="C203">
        <v>4702</v>
      </c>
      <c r="D203">
        <v>178</v>
      </c>
      <c r="E203">
        <v>30</v>
      </c>
      <c r="F203" s="3">
        <f t="shared" si="46"/>
        <v>3.7856231390897492</v>
      </c>
      <c r="G203" s="3">
        <f t="shared" si="47"/>
        <v>0.6380263717566993</v>
      </c>
      <c r="H203" s="3">
        <f t="shared" si="48"/>
        <v>16.853932584269664</v>
      </c>
      <c r="P203">
        <f>SUM(C203:C206)</f>
        <v>17249</v>
      </c>
      <c r="Q203">
        <f>SUM(D203:D206)</f>
        <v>696</v>
      </c>
      <c r="R203">
        <f>SUM(E203:E206)</f>
        <v>128</v>
      </c>
      <c r="S203" s="3">
        <f t="shared" ref="S203:S251" si="49">Q203/P203*100</f>
        <v>4.0350165226969681</v>
      </c>
      <c r="T203" s="3">
        <f t="shared" ref="T203:T251" si="50">R203/P203*100</f>
        <v>0.74207200417415498</v>
      </c>
      <c r="U203" s="3">
        <f t="shared" ref="U203:U251" si="51">R203/Q203*100</f>
        <v>18.390804597701148</v>
      </c>
    </row>
    <row r="204" spans="1:28" x14ac:dyDescent="0.25">
      <c r="A204" s="1">
        <v>44437</v>
      </c>
      <c r="B204" t="s">
        <v>5</v>
      </c>
      <c r="C204">
        <v>4221</v>
      </c>
      <c r="D204">
        <v>180</v>
      </c>
      <c r="E204">
        <v>26</v>
      </c>
      <c r="F204" s="3">
        <f t="shared" si="46"/>
        <v>4.2643923240938166</v>
      </c>
      <c r="G204" s="3">
        <f t="shared" si="47"/>
        <v>0.61596778014688458</v>
      </c>
      <c r="H204" s="3">
        <f t="shared" si="48"/>
        <v>14.444444444444443</v>
      </c>
      <c r="P204"/>
      <c r="Q204"/>
      <c r="R204"/>
    </row>
    <row r="205" spans="1:28" x14ac:dyDescent="0.25">
      <c r="A205" s="1">
        <v>44444</v>
      </c>
      <c r="B205" t="s">
        <v>5</v>
      </c>
      <c r="C205">
        <v>4012</v>
      </c>
      <c r="D205">
        <v>154</v>
      </c>
      <c r="E205">
        <v>27</v>
      </c>
      <c r="F205" s="3">
        <f t="shared" si="46"/>
        <v>3.8384845463609172</v>
      </c>
      <c r="G205" s="3">
        <f t="shared" si="47"/>
        <v>0.67298105682951137</v>
      </c>
      <c r="H205" s="3">
        <f t="shared" si="48"/>
        <v>17.532467532467532</v>
      </c>
      <c r="P205"/>
      <c r="Q205"/>
      <c r="R205"/>
    </row>
    <row r="206" spans="1:28" x14ac:dyDescent="0.25">
      <c r="A206" s="1">
        <v>44451</v>
      </c>
      <c r="B206" t="s">
        <v>5</v>
      </c>
      <c r="C206">
        <v>4314</v>
      </c>
      <c r="D206">
        <v>184</v>
      </c>
      <c r="E206">
        <v>45</v>
      </c>
      <c r="F206" s="3">
        <f t="shared" si="46"/>
        <v>4.2651831247102461</v>
      </c>
      <c r="G206" s="3">
        <f t="shared" si="47"/>
        <v>1.0431154381084839</v>
      </c>
      <c r="H206" s="3">
        <f t="shared" si="48"/>
        <v>24.456521739130434</v>
      </c>
      <c r="P206"/>
      <c r="Q206"/>
      <c r="R206"/>
    </row>
    <row r="207" spans="1:28" x14ac:dyDescent="0.25">
      <c r="A207" s="1">
        <v>44458</v>
      </c>
      <c r="B207" t="s">
        <v>5</v>
      </c>
      <c r="C207">
        <v>3983</v>
      </c>
      <c r="D207">
        <v>171</v>
      </c>
      <c r="E207">
        <v>18</v>
      </c>
      <c r="F207" s="3">
        <f t="shared" si="46"/>
        <v>4.2932462967612359</v>
      </c>
      <c r="G207" s="3">
        <f t="shared" si="47"/>
        <v>0.45192066281697213</v>
      </c>
      <c r="H207" s="3">
        <f t="shared" si="48"/>
        <v>10.526315789473683</v>
      </c>
      <c r="P207">
        <f t="shared" ref="P207:R207" si="52">SUM(C207:C210)</f>
        <v>16344</v>
      </c>
      <c r="Q207">
        <f t="shared" si="52"/>
        <v>712</v>
      </c>
      <c r="R207">
        <f t="shared" si="52"/>
        <v>112</v>
      </c>
      <c r="S207" s="3">
        <f t="shared" si="49"/>
        <v>4.3563387175721981</v>
      </c>
      <c r="T207" s="3">
        <f t="shared" si="50"/>
        <v>0.68526676456191871</v>
      </c>
      <c r="U207" s="3">
        <f t="shared" si="51"/>
        <v>15.730337078651685</v>
      </c>
    </row>
    <row r="208" spans="1:28" x14ac:dyDescent="0.25">
      <c r="A208" s="1">
        <v>44465</v>
      </c>
      <c r="B208" t="s">
        <v>5</v>
      </c>
      <c r="C208">
        <v>3815</v>
      </c>
      <c r="D208">
        <v>168</v>
      </c>
      <c r="E208">
        <v>33</v>
      </c>
      <c r="F208" s="3">
        <f t="shared" si="46"/>
        <v>4.4036697247706424</v>
      </c>
      <c r="G208" s="3">
        <f t="shared" si="47"/>
        <v>0.86500655307994756</v>
      </c>
      <c r="H208" s="3">
        <f t="shared" si="48"/>
        <v>19.642857142857142</v>
      </c>
      <c r="P208"/>
      <c r="Q208"/>
      <c r="R208"/>
    </row>
    <row r="209" spans="1:21" x14ac:dyDescent="0.25">
      <c r="A209" s="1">
        <v>44472</v>
      </c>
      <c r="B209" t="s">
        <v>5</v>
      </c>
      <c r="C209">
        <v>4328</v>
      </c>
      <c r="D209">
        <v>189</v>
      </c>
      <c r="E209">
        <v>28</v>
      </c>
      <c r="F209" s="3">
        <f t="shared" si="46"/>
        <v>4.3669131238447321</v>
      </c>
      <c r="G209" s="3">
        <f t="shared" si="47"/>
        <v>0.64695009242144186</v>
      </c>
      <c r="H209" s="3">
        <f t="shared" si="48"/>
        <v>14.814814814814813</v>
      </c>
      <c r="P209"/>
      <c r="Q209"/>
      <c r="R209"/>
    </row>
    <row r="210" spans="1:21" x14ac:dyDescent="0.25">
      <c r="A210" s="1">
        <v>44479</v>
      </c>
      <c r="B210" t="s">
        <v>5</v>
      </c>
      <c r="C210">
        <v>4218</v>
      </c>
      <c r="D210">
        <v>184</v>
      </c>
      <c r="E210">
        <v>33</v>
      </c>
      <c r="F210" s="3">
        <f t="shared" si="46"/>
        <v>4.362256993835941</v>
      </c>
      <c r="G210" s="3">
        <f t="shared" si="47"/>
        <v>0.78236130867709808</v>
      </c>
      <c r="H210" s="3">
        <f t="shared" si="48"/>
        <v>17.934782608695652</v>
      </c>
      <c r="P210"/>
      <c r="Q210"/>
      <c r="R210"/>
    </row>
    <row r="211" spans="1:21" x14ac:dyDescent="0.25">
      <c r="A211" s="1">
        <v>44486</v>
      </c>
      <c r="B211" t="s">
        <v>5</v>
      </c>
      <c r="C211">
        <v>4372</v>
      </c>
      <c r="D211">
        <v>172</v>
      </c>
      <c r="E211">
        <v>29</v>
      </c>
      <c r="F211" s="3">
        <f t="shared" si="46"/>
        <v>3.9341262580054894</v>
      </c>
      <c r="G211" s="3">
        <f t="shared" si="47"/>
        <v>0.66331198536139069</v>
      </c>
      <c r="H211" s="3">
        <f t="shared" si="48"/>
        <v>16.86046511627907</v>
      </c>
      <c r="P211">
        <f t="shared" ref="P211:R211" si="53">SUM(C211:C214)</f>
        <v>16316</v>
      </c>
      <c r="Q211">
        <f t="shared" si="53"/>
        <v>888</v>
      </c>
      <c r="R211">
        <f t="shared" si="53"/>
        <v>125</v>
      </c>
      <c r="S211" s="3">
        <f t="shared" si="49"/>
        <v>5.4425104192203966</v>
      </c>
      <c r="T211" s="3">
        <f t="shared" si="50"/>
        <v>0.76611914684971805</v>
      </c>
      <c r="U211" s="3">
        <f t="shared" si="51"/>
        <v>14.076576576576578</v>
      </c>
    </row>
    <row r="212" spans="1:21" x14ac:dyDescent="0.25">
      <c r="A212" s="1">
        <v>44493</v>
      </c>
      <c r="B212" t="s">
        <v>5</v>
      </c>
      <c r="C212">
        <v>4000</v>
      </c>
      <c r="D212">
        <v>219</v>
      </c>
      <c r="E212">
        <v>35</v>
      </c>
      <c r="F212" s="3">
        <f t="shared" si="46"/>
        <v>5.4749999999999996</v>
      </c>
      <c r="G212" s="3">
        <f t="shared" si="47"/>
        <v>0.87500000000000011</v>
      </c>
      <c r="H212" s="3">
        <f t="shared" si="48"/>
        <v>15.981735159817351</v>
      </c>
      <c r="P212"/>
      <c r="Q212"/>
      <c r="R212"/>
    </row>
    <row r="213" spans="1:21" x14ac:dyDescent="0.25">
      <c r="A213" s="1">
        <v>44500</v>
      </c>
      <c r="B213" t="s">
        <v>5</v>
      </c>
      <c r="C213">
        <v>3859</v>
      </c>
      <c r="D213">
        <v>250</v>
      </c>
      <c r="E213">
        <v>32</v>
      </c>
      <c r="F213" s="3">
        <f t="shared" si="46"/>
        <v>6.47836227001814</v>
      </c>
      <c r="G213" s="3">
        <f t="shared" si="47"/>
        <v>0.82923037056232185</v>
      </c>
      <c r="H213" s="3">
        <f t="shared" si="48"/>
        <v>12.8</v>
      </c>
      <c r="I213">
        <f>SUM(C213:C225)</f>
        <v>53986</v>
      </c>
      <c r="J213">
        <f>SUM(D213:D225)</f>
        <v>3203</v>
      </c>
      <c r="K213">
        <f>SUM(E213:E225)</f>
        <v>452</v>
      </c>
      <c r="L213">
        <v>100</v>
      </c>
      <c r="M213" s="3">
        <f>J213/I213*100</f>
        <v>5.9330196717667549</v>
      </c>
      <c r="N213" s="3">
        <f>K213/I213*100</f>
        <v>0.83725410291557067</v>
      </c>
      <c r="O213" s="3">
        <f t="shared" ref="O213" si="54">K213/J213*100</f>
        <v>14.111770215423041</v>
      </c>
      <c r="P213"/>
      <c r="Q213"/>
      <c r="R213"/>
    </row>
    <row r="214" spans="1:21" x14ac:dyDescent="0.25">
      <c r="A214" s="1">
        <v>44507</v>
      </c>
      <c r="B214" t="s">
        <v>5</v>
      </c>
      <c r="C214">
        <v>4085</v>
      </c>
      <c r="D214">
        <v>247</v>
      </c>
      <c r="E214">
        <v>29</v>
      </c>
      <c r="F214" s="3">
        <f t="shared" si="46"/>
        <v>6.0465116279069768</v>
      </c>
      <c r="G214" s="3">
        <f t="shared" si="47"/>
        <v>0.70991432068543447</v>
      </c>
      <c r="H214" s="3">
        <f t="shared" si="48"/>
        <v>11.740890688259109</v>
      </c>
      <c r="P214"/>
      <c r="Q214"/>
      <c r="R214"/>
    </row>
    <row r="215" spans="1:21" x14ac:dyDescent="0.25">
      <c r="A215" s="1">
        <v>44514</v>
      </c>
      <c r="B215" t="s">
        <v>5</v>
      </c>
      <c r="C215">
        <v>4003</v>
      </c>
      <c r="D215">
        <v>238</v>
      </c>
      <c r="E215">
        <v>26</v>
      </c>
      <c r="F215" s="3">
        <f t="shared" si="46"/>
        <v>5.9455408443667253</v>
      </c>
      <c r="G215" s="3">
        <f t="shared" si="47"/>
        <v>0.64951286535098685</v>
      </c>
      <c r="H215" s="3">
        <f t="shared" si="48"/>
        <v>10.92436974789916</v>
      </c>
      <c r="P215">
        <f t="shared" ref="P215:R215" si="55">SUM(C215:C218)</f>
        <v>15478</v>
      </c>
      <c r="Q215">
        <f t="shared" si="55"/>
        <v>1013</v>
      </c>
      <c r="R215">
        <f t="shared" si="55"/>
        <v>120</v>
      </c>
      <c r="S215" s="3">
        <f t="shared" si="49"/>
        <v>6.5447732265150531</v>
      </c>
      <c r="T215" s="3">
        <f t="shared" si="50"/>
        <v>0.77529396562863417</v>
      </c>
      <c r="U215" s="3">
        <f t="shared" si="51"/>
        <v>11.846001974333662</v>
      </c>
    </row>
    <row r="216" spans="1:21" x14ac:dyDescent="0.25">
      <c r="A216" s="1">
        <v>44521</v>
      </c>
      <c r="B216" t="s">
        <v>5</v>
      </c>
      <c r="C216">
        <v>3906</v>
      </c>
      <c r="D216">
        <v>259</v>
      </c>
      <c r="E216">
        <v>33</v>
      </c>
      <c r="F216" s="3">
        <f t="shared" si="46"/>
        <v>6.6308243727598564</v>
      </c>
      <c r="G216" s="3">
        <f t="shared" si="47"/>
        <v>0.84485407066052232</v>
      </c>
      <c r="H216" s="3">
        <f t="shared" si="48"/>
        <v>12.741312741312742</v>
      </c>
      <c r="P216"/>
      <c r="Q216"/>
      <c r="R216"/>
    </row>
    <row r="217" spans="1:21" x14ac:dyDescent="0.25">
      <c r="A217" s="1">
        <v>44528</v>
      </c>
      <c r="B217" t="s">
        <v>5</v>
      </c>
      <c r="C217">
        <v>3645</v>
      </c>
      <c r="D217">
        <v>269</v>
      </c>
      <c r="E217">
        <v>24</v>
      </c>
      <c r="F217" s="3">
        <f t="shared" si="46"/>
        <v>7.3799725651577495</v>
      </c>
      <c r="G217" s="3">
        <f t="shared" si="47"/>
        <v>0.65843621399176955</v>
      </c>
      <c r="H217" s="3">
        <f t="shared" si="48"/>
        <v>8.921933085501859</v>
      </c>
      <c r="P217"/>
      <c r="Q217"/>
      <c r="R217"/>
    </row>
    <row r="218" spans="1:21" x14ac:dyDescent="0.25">
      <c r="A218" s="1">
        <v>44535</v>
      </c>
      <c r="B218" t="s">
        <v>5</v>
      </c>
      <c r="C218">
        <v>3924</v>
      </c>
      <c r="D218">
        <v>247</v>
      </c>
      <c r="E218">
        <v>37</v>
      </c>
      <c r="F218" s="3">
        <f t="shared" si="46"/>
        <v>6.2945973496432215</v>
      </c>
      <c r="G218" s="3">
        <f t="shared" si="47"/>
        <v>0.94291539245667677</v>
      </c>
      <c r="H218" s="3">
        <f t="shared" si="48"/>
        <v>14.979757085020243</v>
      </c>
      <c r="P218"/>
      <c r="Q218"/>
      <c r="R218"/>
    </row>
    <row r="219" spans="1:21" x14ac:dyDescent="0.25">
      <c r="A219" s="1">
        <v>44542</v>
      </c>
      <c r="B219" t="s">
        <v>5</v>
      </c>
      <c r="C219">
        <v>4048</v>
      </c>
      <c r="D219">
        <v>226</v>
      </c>
      <c r="E219">
        <v>30</v>
      </c>
      <c r="F219" s="3">
        <f t="shared" si="46"/>
        <v>5.5830039525691699</v>
      </c>
      <c r="G219" s="3">
        <f t="shared" si="47"/>
        <v>0.74110671936758887</v>
      </c>
      <c r="H219" s="3">
        <f t="shared" si="48"/>
        <v>13.274336283185843</v>
      </c>
      <c r="P219">
        <f t="shared" ref="P219:R219" si="56">SUM(C219:C222)</f>
        <v>15540</v>
      </c>
      <c r="Q219">
        <f t="shared" si="56"/>
        <v>837</v>
      </c>
      <c r="R219">
        <f t="shared" si="56"/>
        <v>112</v>
      </c>
      <c r="S219" s="3">
        <f t="shared" si="49"/>
        <v>5.3861003861003862</v>
      </c>
      <c r="T219" s="3">
        <f t="shared" si="50"/>
        <v>0.72072072072072069</v>
      </c>
      <c r="U219" s="3">
        <f t="shared" si="51"/>
        <v>13.381123058542412</v>
      </c>
    </row>
    <row r="220" spans="1:21" x14ac:dyDescent="0.25">
      <c r="A220" s="1">
        <v>44549</v>
      </c>
      <c r="B220" t="s">
        <v>5</v>
      </c>
      <c r="C220">
        <v>3706</v>
      </c>
      <c r="D220">
        <v>200</v>
      </c>
      <c r="E220">
        <v>21</v>
      </c>
      <c r="F220" s="3">
        <f t="shared" si="46"/>
        <v>5.3966540744738261</v>
      </c>
      <c r="G220" s="3">
        <f t="shared" si="47"/>
        <v>0.56664867781975181</v>
      </c>
      <c r="H220" s="3">
        <f t="shared" si="48"/>
        <v>10.5</v>
      </c>
      <c r="P220"/>
      <c r="Q220"/>
      <c r="R220"/>
    </row>
    <row r="221" spans="1:21" x14ac:dyDescent="0.25">
      <c r="A221" s="1">
        <v>44556</v>
      </c>
      <c r="B221" t="s">
        <v>5</v>
      </c>
      <c r="C221">
        <v>3614</v>
      </c>
      <c r="D221">
        <v>175</v>
      </c>
      <c r="E221">
        <v>22</v>
      </c>
      <c r="F221" s="3">
        <f t="shared" si="46"/>
        <v>4.842280022136138</v>
      </c>
      <c r="G221" s="3">
        <f t="shared" si="47"/>
        <v>0.60874377421140002</v>
      </c>
      <c r="H221" s="3">
        <f t="shared" si="48"/>
        <v>12.571428571428573</v>
      </c>
      <c r="P221"/>
      <c r="Q221"/>
      <c r="R221"/>
    </row>
    <row r="222" spans="1:21" x14ac:dyDescent="0.25">
      <c r="A222" s="1">
        <v>44563</v>
      </c>
      <c r="B222" t="s">
        <v>5</v>
      </c>
      <c r="C222">
        <v>4172</v>
      </c>
      <c r="D222">
        <v>236</v>
      </c>
      <c r="E222">
        <v>39</v>
      </c>
      <c r="F222" s="3">
        <f t="shared" si="46"/>
        <v>5.656759348034516</v>
      </c>
      <c r="G222" s="3">
        <f t="shared" si="47"/>
        <v>0.93480345158197509</v>
      </c>
      <c r="H222" s="3">
        <f t="shared" si="48"/>
        <v>16.525423728813561</v>
      </c>
      <c r="P222"/>
      <c r="Q222"/>
      <c r="R222"/>
    </row>
    <row r="223" spans="1:21" x14ac:dyDescent="0.25">
      <c r="A223" s="1">
        <v>44570</v>
      </c>
      <c r="B223" t="s">
        <v>5</v>
      </c>
      <c r="C223">
        <v>4471</v>
      </c>
      <c r="D223">
        <v>247</v>
      </c>
      <c r="E223">
        <v>45</v>
      </c>
      <c r="F223" s="3">
        <f t="shared" si="46"/>
        <v>5.5244911652874071</v>
      </c>
      <c r="G223" s="3">
        <f t="shared" si="47"/>
        <v>1.0064862446879894</v>
      </c>
      <c r="H223" s="3">
        <f t="shared" si="48"/>
        <v>18.218623481781375</v>
      </c>
      <c r="P223">
        <f t="shared" ref="P223:R223" si="57">SUM(C223:C226)</f>
        <v>21543</v>
      </c>
      <c r="Q223">
        <f t="shared" si="57"/>
        <v>1233</v>
      </c>
      <c r="R223">
        <f t="shared" si="57"/>
        <v>215</v>
      </c>
      <c r="S223" s="3">
        <f t="shared" si="49"/>
        <v>5.7234368472357611</v>
      </c>
      <c r="T223" s="3">
        <f t="shared" si="50"/>
        <v>0.99800399201596801</v>
      </c>
      <c r="U223" s="3">
        <f t="shared" si="51"/>
        <v>17.437145174371452</v>
      </c>
    </row>
    <row r="224" spans="1:21" x14ac:dyDescent="0.25">
      <c r="A224" s="1">
        <v>44577</v>
      </c>
      <c r="B224" t="s">
        <v>5</v>
      </c>
      <c r="C224">
        <v>5343</v>
      </c>
      <c r="D224">
        <v>297</v>
      </c>
      <c r="E224">
        <v>62</v>
      </c>
      <c r="F224" s="3">
        <f t="shared" si="46"/>
        <v>5.558674901740595</v>
      </c>
      <c r="G224" s="3">
        <f t="shared" si="47"/>
        <v>1.1603967808347371</v>
      </c>
      <c r="H224" s="3">
        <f t="shared" si="48"/>
        <v>20.875420875420875</v>
      </c>
      <c r="P224"/>
      <c r="Q224"/>
      <c r="R224"/>
    </row>
    <row r="225" spans="1:21" x14ac:dyDescent="0.25">
      <c r="A225" s="1">
        <v>44584</v>
      </c>
      <c r="B225" t="s">
        <v>5</v>
      </c>
      <c r="C225">
        <v>5210</v>
      </c>
      <c r="D225">
        <v>312</v>
      </c>
      <c r="E225">
        <v>52</v>
      </c>
      <c r="F225" s="3">
        <f t="shared" si="46"/>
        <v>5.9884836852207295</v>
      </c>
      <c r="G225" s="3">
        <f t="shared" si="47"/>
        <v>0.99808061420345495</v>
      </c>
      <c r="H225" s="3">
        <f t="shared" si="48"/>
        <v>16.666666666666664</v>
      </c>
      <c r="P225"/>
      <c r="Q225"/>
      <c r="R225"/>
    </row>
    <row r="226" spans="1:21" x14ac:dyDescent="0.25">
      <c r="A226" s="1">
        <v>44591</v>
      </c>
      <c r="B226" t="s">
        <v>5</v>
      </c>
      <c r="C226">
        <v>6519</v>
      </c>
      <c r="D226">
        <v>377</v>
      </c>
      <c r="E226">
        <v>56</v>
      </c>
      <c r="F226" s="3">
        <f t="shared" si="46"/>
        <v>5.7830955668047244</v>
      </c>
      <c r="G226" s="3">
        <f t="shared" si="47"/>
        <v>0.85902745819911031</v>
      </c>
      <c r="H226" s="3">
        <f t="shared" si="48"/>
        <v>14.854111405835543</v>
      </c>
      <c r="I226">
        <f>SUM(C226:C238)</f>
        <v>75894</v>
      </c>
      <c r="J226">
        <f>SUM(D226:D238)</f>
        <v>3999</v>
      </c>
      <c r="K226">
        <f>SUM(E226:E238)</f>
        <v>617</v>
      </c>
      <c r="L226">
        <v>100</v>
      </c>
      <c r="M226" s="3">
        <f>J226/I226*100</f>
        <v>5.269191240414262</v>
      </c>
      <c r="N226" s="3">
        <f>K226/I226*100</f>
        <v>0.81297599283210797</v>
      </c>
      <c r="O226" s="3">
        <f t="shared" ref="O226" si="58">K226/J226*100</f>
        <v>15.428857214303576</v>
      </c>
      <c r="P226"/>
      <c r="Q226"/>
      <c r="R226"/>
    </row>
    <row r="227" spans="1:21" x14ac:dyDescent="0.25">
      <c r="A227" s="1">
        <v>44598</v>
      </c>
      <c r="B227" t="s">
        <v>5</v>
      </c>
      <c r="C227">
        <v>6477</v>
      </c>
      <c r="D227">
        <v>343</v>
      </c>
      <c r="E227">
        <v>47</v>
      </c>
      <c r="F227" s="3">
        <f t="shared" si="46"/>
        <v>5.2956615717152999</v>
      </c>
      <c r="G227" s="3">
        <f t="shared" si="47"/>
        <v>0.72564458854407898</v>
      </c>
      <c r="H227" s="3">
        <f t="shared" si="48"/>
        <v>13.702623906705538</v>
      </c>
      <c r="P227">
        <f t="shared" ref="P227:R227" si="59">SUM(C227:C230)</f>
        <v>23708</v>
      </c>
      <c r="Q227">
        <f t="shared" si="59"/>
        <v>1255</v>
      </c>
      <c r="R227">
        <f t="shared" si="59"/>
        <v>205</v>
      </c>
      <c r="S227" s="3">
        <f t="shared" si="49"/>
        <v>5.2935717901130417</v>
      </c>
      <c r="T227" s="3">
        <f t="shared" si="50"/>
        <v>0.86468702547663234</v>
      </c>
      <c r="U227" s="3">
        <f t="shared" si="51"/>
        <v>16.334661354581673</v>
      </c>
    </row>
    <row r="228" spans="1:21" x14ac:dyDescent="0.25">
      <c r="A228" s="1">
        <v>44605</v>
      </c>
      <c r="B228" t="s">
        <v>5</v>
      </c>
      <c r="C228">
        <v>5960</v>
      </c>
      <c r="D228">
        <v>354</v>
      </c>
      <c r="E228">
        <v>46</v>
      </c>
      <c r="F228" s="3">
        <f t="shared" si="46"/>
        <v>5.9395973154362416</v>
      </c>
      <c r="G228" s="3">
        <f t="shared" si="47"/>
        <v>0.77181208053691275</v>
      </c>
      <c r="H228" s="3">
        <f t="shared" si="48"/>
        <v>12.994350282485875</v>
      </c>
      <c r="P228"/>
      <c r="Q228"/>
      <c r="R228"/>
    </row>
    <row r="229" spans="1:21" x14ac:dyDescent="0.25">
      <c r="A229" s="1">
        <v>44612</v>
      </c>
      <c r="B229" t="s">
        <v>5</v>
      </c>
      <c r="C229">
        <v>5597</v>
      </c>
      <c r="D229">
        <v>302</v>
      </c>
      <c r="E229">
        <v>63</v>
      </c>
      <c r="F229" s="3">
        <f t="shared" si="46"/>
        <v>5.3957477219939252</v>
      </c>
      <c r="G229" s="3">
        <f t="shared" si="47"/>
        <v>1.1256030016080043</v>
      </c>
      <c r="H229" s="3">
        <f t="shared" si="48"/>
        <v>20.860927152317881</v>
      </c>
      <c r="P229"/>
      <c r="Q229"/>
      <c r="R229"/>
    </row>
    <row r="230" spans="1:21" x14ac:dyDescent="0.25">
      <c r="A230" s="1">
        <v>44619</v>
      </c>
      <c r="B230" t="s">
        <v>5</v>
      </c>
      <c r="C230">
        <v>5674</v>
      </c>
      <c r="D230">
        <v>256</v>
      </c>
      <c r="E230">
        <v>49</v>
      </c>
      <c r="F230" s="3">
        <f t="shared" si="46"/>
        <v>4.5118082481494532</v>
      </c>
      <c r="G230" s="3">
        <f t="shared" si="47"/>
        <v>0.86358829749735633</v>
      </c>
      <c r="H230" s="3">
        <f t="shared" si="48"/>
        <v>19.140625</v>
      </c>
      <c r="P230"/>
      <c r="Q230"/>
      <c r="R230"/>
    </row>
    <row r="231" spans="1:21" x14ac:dyDescent="0.25">
      <c r="A231" s="1">
        <v>44626</v>
      </c>
      <c r="B231" t="s">
        <v>5</v>
      </c>
      <c r="C231">
        <v>5708</v>
      </c>
      <c r="D231">
        <v>261</v>
      </c>
      <c r="E231">
        <v>46</v>
      </c>
      <c r="F231" s="3">
        <f t="shared" si="46"/>
        <v>4.5725297827610376</v>
      </c>
      <c r="G231" s="3">
        <f t="shared" si="47"/>
        <v>0.80588647512263489</v>
      </c>
      <c r="H231" s="3">
        <f t="shared" si="48"/>
        <v>17.624521072796934</v>
      </c>
      <c r="P231">
        <f t="shared" ref="P231:R231" si="60">SUM(C231:C234)</f>
        <v>22731</v>
      </c>
      <c r="Q231">
        <f t="shared" si="60"/>
        <v>1138</v>
      </c>
      <c r="R231">
        <f t="shared" si="60"/>
        <v>182</v>
      </c>
      <c r="S231" s="3">
        <f t="shared" si="49"/>
        <v>5.0063789538515682</v>
      </c>
      <c r="T231" s="3">
        <f t="shared" si="50"/>
        <v>0.80066869033478505</v>
      </c>
      <c r="U231" s="3">
        <f t="shared" si="51"/>
        <v>15.992970123022848</v>
      </c>
    </row>
    <row r="232" spans="1:21" x14ac:dyDescent="0.25">
      <c r="A232" s="1">
        <v>44633</v>
      </c>
      <c r="B232" t="s">
        <v>5</v>
      </c>
      <c r="C232">
        <v>6076</v>
      </c>
      <c r="D232">
        <v>334</v>
      </c>
      <c r="E232">
        <v>50</v>
      </c>
      <c r="F232" s="3">
        <f t="shared" si="46"/>
        <v>5.4970375246872942</v>
      </c>
      <c r="G232" s="3">
        <f t="shared" si="47"/>
        <v>0.82290980908492439</v>
      </c>
      <c r="H232" s="3">
        <f t="shared" si="48"/>
        <v>14.97005988023952</v>
      </c>
      <c r="P232"/>
      <c r="Q232"/>
      <c r="R232"/>
    </row>
    <row r="233" spans="1:21" x14ac:dyDescent="0.25">
      <c r="A233" s="1">
        <v>44640</v>
      </c>
      <c r="B233" t="s">
        <v>5</v>
      </c>
      <c r="C233">
        <v>5825</v>
      </c>
      <c r="D233">
        <v>281</v>
      </c>
      <c r="E233">
        <v>53</v>
      </c>
      <c r="F233" s="3">
        <f t="shared" si="46"/>
        <v>4.8240343347639483</v>
      </c>
      <c r="G233" s="3">
        <f t="shared" si="47"/>
        <v>0.90987124463519309</v>
      </c>
      <c r="H233" s="3">
        <f t="shared" si="48"/>
        <v>18.861209964412812</v>
      </c>
      <c r="P233"/>
      <c r="Q233"/>
      <c r="R233"/>
    </row>
    <row r="234" spans="1:21" x14ac:dyDescent="0.25">
      <c r="A234" s="1">
        <v>44647</v>
      </c>
      <c r="B234" t="s">
        <v>5</v>
      </c>
      <c r="C234">
        <v>5122</v>
      </c>
      <c r="D234">
        <v>262</v>
      </c>
      <c r="E234">
        <v>33</v>
      </c>
      <c r="F234" s="3">
        <f t="shared" si="46"/>
        <v>5.1151893791487701</v>
      </c>
      <c r="G234" s="3">
        <f t="shared" si="47"/>
        <v>0.64427957828973059</v>
      </c>
      <c r="H234" s="3">
        <f t="shared" si="48"/>
        <v>12.595419847328243</v>
      </c>
      <c r="P234"/>
      <c r="Q234"/>
      <c r="R234"/>
    </row>
    <row r="235" spans="1:21" x14ac:dyDescent="0.25">
      <c r="A235" s="1">
        <v>44654</v>
      </c>
      <c r="B235" t="s">
        <v>5</v>
      </c>
      <c r="C235">
        <v>6722</v>
      </c>
      <c r="D235">
        <v>385</v>
      </c>
      <c r="E235">
        <v>47</v>
      </c>
      <c r="F235" s="3">
        <f t="shared" si="46"/>
        <v>5.7274620648616485</v>
      </c>
      <c r="G235" s="3">
        <f t="shared" si="47"/>
        <v>0.69919666765843502</v>
      </c>
      <c r="H235" s="3">
        <f t="shared" si="48"/>
        <v>12.207792207792208</v>
      </c>
      <c r="P235">
        <f t="shared" ref="P235:R235" si="61">SUM(C235:C238)</f>
        <v>22936</v>
      </c>
      <c r="Q235">
        <f t="shared" si="61"/>
        <v>1229</v>
      </c>
      <c r="R235">
        <f t="shared" si="61"/>
        <v>174</v>
      </c>
      <c r="S235" s="3">
        <f t="shared" si="49"/>
        <v>5.3583885594698284</v>
      </c>
      <c r="T235" s="3">
        <f t="shared" si="50"/>
        <v>0.75863271712591551</v>
      </c>
      <c r="U235" s="3">
        <f t="shared" si="51"/>
        <v>14.157851912123679</v>
      </c>
    </row>
    <row r="236" spans="1:21" x14ac:dyDescent="0.25">
      <c r="A236" s="1">
        <v>44661</v>
      </c>
      <c r="B236" t="s">
        <v>5</v>
      </c>
      <c r="C236">
        <v>6576</v>
      </c>
      <c r="D236">
        <v>316</v>
      </c>
      <c r="E236">
        <v>38</v>
      </c>
      <c r="F236" s="3">
        <f t="shared" si="46"/>
        <v>4.8053527980535273</v>
      </c>
      <c r="G236" s="3">
        <f t="shared" si="47"/>
        <v>0.57785888077858882</v>
      </c>
      <c r="H236" s="3">
        <f t="shared" si="48"/>
        <v>12.025316455696203</v>
      </c>
      <c r="P236"/>
      <c r="Q236"/>
      <c r="R236"/>
    </row>
    <row r="237" spans="1:21" x14ac:dyDescent="0.25">
      <c r="A237" s="1">
        <v>44668</v>
      </c>
      <c r="B237" t="s">
        <v>5</v>
      </c>
      <c r="C237">
        <v>4813</v>
      </c>
      <c r="D237">
        <v>280</v>
      </c>
      <c r="E237">
        <v>46</v>
      </c>
      <c r="F237" s="3">
        <f t="shared" si="46"/>
        <v>5.8175773945564098</v>
      </c>
      <c r="G237" s="3">
        <f t="shared" si="47"/>
        <v>0.95574485767712447</v>
      </c>
      <c r="H237" s="3">
        <f t="shared" si="48"/>
        <v>16.428571428571427</v>
      </c>
      <c r="P237"/>
      <c r="Q237"/>
      <c r="R237"/>
    </row>
    <row r="238" spans="1:21" x14ac:dyDescent="0.25">
      <c r="A238" s="1">
        <v>44675</v>
      </c>
      <c r="B238" t="s">
        <v>5</v>
      </c>
      <c r="C238">
        <v>4825</v>
      </c>
      <c r="D238">
        <v>248</v>
      </c>
      <c r="E238">
        <v>43</v>
      </c>
      <c r="F238" s="3">
        <f t="shared" si="46"/>
        <v>5.1398963730569953</v>
      </c>
      <c r="G238" s="3">
        <f t="shared" si="47"/>
        <v>0.89119170984455953</v>
      </c>
      <c r="H238" s="3">
        <f t="shared" si="48"/>
        <v>17.338709677419356</v>
      </c>
      <c r="P238"/>
      <c r="Q238"/>
      <c r="R238"/>
    </row>
    <row r="239" spans="1:21" x14ac:dyDescent="0.25">
      <c r="A239" s="1">
        <v>44682</v>
      </c>
      <c r="B239" t="s">
        <v>5</v>
      </c>
      <c r="C239">
        <v>4974</v>
      </c>
      <c r="D239">
        <v>369</v>
      </c>
      <c r="E239">
        <v>58</v>
      </c>
      <c r="F239" s="3">
        <f t="shared" si="46"/>
        <v>7.4185765983112191</v>
      </c>
      <c r="G239" s="3">
        <f t="shared" si="47"/>
        <v>1.166063530357861</v>
      </c>
      <c r="H239" s="3">
        <f t="shared" si="48"/>
        <v>15.718157181571815</v>
      </c>
      <c r="I239">
        <f>SUM(C239:C251)</f>
        <v>83011</v>
      </c>
      <c r="J239">
        <f>SUM(D239:D251)</f>
        <v>6718</v>
      </c>
      <c r="K239">
        <f>SUM(E239:E251)</f>
        <v>680</v>
      </c>
      <c r="L239">
        <v>100</v>
      </c>
      <c r="M239" s="3">
        <f>J239/I239*100</f>
        <v>8.092903350158414</v>
      </c>
      <c r="N239" s="3">
        <f>K239/I239*100</f>
        <v>0.81916854392791305</v>
      </c>
      <c r="O239" s="3">
        <f t="shared" ref="O239" si="62">K239/J239*100</f>
        <v>10.122060136945519</v>
      </c>
      <c r="P239">
        <f t="shared" ref="P239:R239" si="63">SUM(C239:C242)</f>
        <v>18676</v>
      </c>
      <c r="Q239">
        <f t="shared" si="63"/>
        <v>1521</v>
      </c>
      <c r="R239">
        <f t="shared" si="63"/>
        <v>210</v>
      </c>
      <c r="S239" s="3">
        <f t="shared" si="49"/>
        <v>8.1441422146069815</v>
      </c>
      <c r="T239" s="3">
        <f t="shared" si="50"/>
        <v>1.1244377811094453</v>
      </c>
      <c r="U239" s="3">
        <f t="shared" si="51"/>
        <v>13.806706114398423</v>
      </c>
    </row>
    <row r="240" spans="1:21" x14ac:dyDescent="0.25">
      <c r="A240" s="1">
        <v>44689</v>
      </c>
      <c r="B240" t="s">
        <v>5</v>
      </c>
      <c r="C240">
        <v>5173</v>
      </c>
      <c r="D240">
        <v>554</v>
      </c>
      <c r="E240">
        <v>89</v>
      </c>
      <c r="F240" s="3">
        <f t="shared" si="46"/>
        <v>10.709452928668084</v>
      </c>
      <c r="G240" s="3">
        <f t="shared" si="47"/>
        <v>1.7204716798762807</v>
      </c>
      <c r="H240" s="3">
        <f t="shared" si="48"/>
        <v>16.064981949458485</v>
      </c>
      <c r="P240"/>
      <c r="Q240"/>
      <c r="R240"/>
    </row>
    <row r="241" spans="1:21" x14ac:dyDescent="0.25">
      <c r="A241" s="1">
        <v>44696</v>
      </c>
      <c r="B241" t="s">
        <v>5</v>
      </c>
      <c r="C241">
        <v>4388</v>
      </c>
      <c r="D241">
        <v>328</v>
      </c>
      <c r="E241">
        <v>39</v>
      </c>
      <c r="F241" s="3">
        <f t="shared" si="46"/>
        <v>7.4749316317228809</v>
      </c>
      <c r="G241" s="3">
        <f t="shared" si="47"/>
        <v>0.88878760255241573</v>
      </c>
      <c r="H241" s="3">
        <f t="shared" si="48"/>
        <v>11.890243902439025</v>
      </c>
      <c r="P241"/>
      <c r="Q241"/>
      <c r="R241"/>
    </row>
    <row r="242" spans="1:21" x14ac:dyDescent="0.25">
      <c r="A242" s="1">
        <v>44703</v>
      </c>
      <c r="B242" t="s">
        <v>5</v>
      </c>
      <c r="C242">
        <v>4141</v>
      </c>
      <c r="D242">
        <v>270</v>
      </c>
      <c r="E242">
        <v>24</v>
      </c>
      <c r="F242" s="3">
        <f t="shared" si="46"/>
        <v>6.520164211543106</v>
      </c>
      <c r="G242" s="3">
        <f t="shared" si="47"/>
        <v>0.5795701521371649</v>
      </c>
      <c r="H242" s="3">
        <f t="shared" si="48"/>
        <v>8.8888888888888893</v>
      </c>
      <c r="P242"/>
      <c r="Q242"/>
      <c r="R242"/>
    </row>
    <row r="243" spans="1:21" x14ac:dyDescent="0.25">
      <c r="A243" s="1">
        <v>44710</v>
      </c>
      <c r="B243" t="s">
        <v>5</v>
      </c>
      <c r="C243">
        <v>5416</v>
      </c>
      <c r="D243">
        <v>403</v>
      </c>
      <c r="E243">
        <v>35</v>
      </c>
      <c r="F243" s="3">
        <f t="shared" si="46"/>
        <v>7.4409158050221569</v>
      </c>
      <c r="G243" s="3">
        <f t="shared" si="47"/>
        <v>0.6462333825701625</v>
      </c>
      <c r="H243" s="3">
        <f t="shared" si="48"/>
        <v>8.6848635235732008</v>
      </c>
      <c r="P243">
        <f t="shared" ref="P243:R243" si="64">SUM(C243:C246)</f>
        <v>20581</v>
      </c>
      <c r="Q243">
        <f t="shared" si="64"/>
        <v>1630</v>
      </c>
      <c r="R243">
        <f t="shared" si="64"/>
        <v>186</v>
      </c>
      <c r="S243" s="3">
        <f t="shared" si="49"/>
        <v>7.9199261454739807</v>
      </c>
      <c r="T243" s="3">
        <f t="shared" si="50"/>
        <v>0.90374617365531307</v>
      </c>
      <c r="U243" s="3">
        <f t="shared" si="51"/>
        <v>11.411042944785276</v>
      </c>
    </row>
    <row r="244" spans="1:21" x14ac:dyDescent="0.25">
      <c r="A244" s="1">
        <v>44717</v>
      </c>
      <c r="B244" t="s">
        <v>5</v>
      </c>
      <c r="C244">
        <v>5040</v>
      </c>
      <c r="D244">
        <v>341</v>
      </c>
      <c r="E244">
        <v>45</v>
      </c>
      <c r="F244" s="3">
        <f t="shared" si="46"/>
        <v>6.7658730158730158</v>
      </c>
      <c r="G244" s="3">
        <f t="shared" si="47"/>
        <v>0.89285714285714279</v>
      </c>
      <c r="H244" s="3">
        <f t="shared" si="48"/>
        <v>13.196480938416421</v>
      </c>
      <c r="P244"/>
      <c r="Q244"/>
      <c r="R244"/>
    </row>
    <row r="245" spans="1:21" x14ac:dyDescent="0.25">
      <c r="A245" s="1">
        <v>44724</v>
      </c>
      <c r="B245" t="s">
        <v>5</v>
      </c>
      <c r="C245">
        <v>5175</v>
      </c>
      <c r="D245">
        <v>460</v>
      </c>
      <c r="E245">
        <v>59</v>
      </c>
      <c r="F245" s="3">
        <f t="shared" si="46"/>
        <v>8.8888888888888893</v>
      </c>
      <c r="G245" s="3">
        <f t="shared" si="47"/>
        <v>1.1400966183574879</v>
      </c>
      <c r="H245" s="3">
        <f t="shared" si="48"/>
        <v>12.82608695652174</v>
      </c>
      <c r="P245"/>
      <c r="Q245"/>
      <c r="R245"/>
    </row>
    <row r="246" spans="1:21" x14ac:dyDescent="0.25">
      <c r="A246" s="1">
        <v>44731</v>
      </c>
      <c r="B246" t="s">
        <v>5</v>
      </c>
      <c r="C246">
        <v>4950</v>
      </c>
      <c r="D246">
        <v>426</v>
      </c>
      <c r="E246">
        <v>47</v>
      </c>
      <c r="F246" s="3">
        <f t="shared" si="46"/>
        <v>8.6060606060606055</v>
      </c>
      <c r="G246" s="3">
        <f t="shared" si="47"/>
        <v>0.9494949494949495</v>
      </c>
      <c r="H246" s="3">
        <f t="shared" si="48"/>
        <v>11.032863849765258</v>
      </c>
      <c r="P246"/>
      <c r="Q246"/>
      <c r="R246"/>
    </row>
    <row r="247" spans="1:21" x14ac:dyDescent="0.25">
      <c r="A247" s="1">
        <v>44738</v>
      </c>
      <c r="B247" t="s">
        <v>5</v>
      </c>
      <c r="C247">
        <v>4721</v>
      </c>
      <c r="D247">
        <v>388</v>
      </c>
      <c r="E247">
        <v>27</v>
      </c>
      <c r="F247" s="3">
        <f t="shared" si="46"/>
        <v>8.2185977547129845</v>
      </c>
      <c r="G247" s="3">
        <f t="shared" si="47"/>
        <v>0.57191273035373857</v>
      </c>
      <c r="H247" s="3">
        <f t="shared" si="48"/>
        <v>6.9587628865979383</v>
      </c>
      <c r="P247">
        <f t="shared" ref="P247:R247" si="65">SUM(C247:C250)</f>
        <v>20789</v>
      </c>
      <c r="Q247">
        <f t="shared" si="65"/>
        <v>2189</v>
      </c>
      <c r="R247">
        <f t="shared" si="65"/>
        <v>200</v>
      </c>
      <c r="S247" s="3">
        <f t="shared" si="49"/>
        <v>10.529607003703882</v>
      </c>
      <c r="T247" s="3">
        <f t="shared" si="50"/>
        <v>0.96204723651931312</v>
      </c>
      <c r="U247" s="3">
        <f t="shared" si="51"/>
        <v>9.1365920511649161</v>
      </c>
    </row>
    <row r="248" spans="1:21" x14ac:dyDescent="0.25">
      <c r="A248" s="1">
        <v>44745</v>
      </c>
      <c r="B248" t="s">
        <v>5</v>
      </c>
      <c r="C248">
        <v>4982</v>
      </c>
      <c r="D248">
        <v>524</v>
      </c>
      <c r="E248">
        <v>36</v>
      </c>
      <c r="F248" s="3">
        <f t="shared" si="46"/>
        <v>10.517864311521476</v>
      </c>
      <c r="G248" s="3">
        <f t="shared" si="47"/>
        <v>0.7226013649136892</v>
      </c>
      <c r="H248" s="3">
        <f t="shared" si="48"/>
        <v>6.8702290076335881</v>
      </c>
      <c r="P248"/>
      <c r="Q248"/>
      <c r="R248"/>
    </row>
    <row r="249" spans="1:21" x14ac:dyDescent="0.25">
      <c r="A249" s="1">
        <v>44752</v>
      </c>
      <c r="B249" t="s">
        <v>5</v>
      </c>
      <c r="C249">
        <v>5117</v>
      </c>
      <c r="D249">
        <v>636</v>
      </c>
      <c r="E249">
        <v>68</v>
      </c>
      <c r="F249" s="3">
        <f t="shared" si="46"/>
        <v>12.429157709595467</v>
      </c>
      <c r="G249" s="3">
        <f t="shared" si="47"/>
        <v>1.3289036544850499</v>
      </c>
      <c r="H249" s="3">
        <f t="shared" si="48"/>
        <v>10.691823899371069</v>
      </c>
      <c r="P249"/>
      <c r="Q249"/>
      <c r="R249"/>
    </row>
    <row r="250" spans="1:21" x14ac:dyDescent="0.25">
      <c r="A250" s="1">
        <v>44759</v>
      </c>
      <c r="B250" t="s">
        <v>5</v>
      </c>
      <c r="C250">
        <v>5969</v>
      </c>
      <c r="D250">
        <v>641</v>
      </c>
      <c r="E250">
        <v>69</v>
      </c>
      <c r="F250" s="3">
        <f t="shared" si="46"/>
        <v>10.738817222315296</v>
      </c>
      <c r="G250" s="3">
        <f t="shared" si="47"/>
        <v>1.1559725247110069</v>
      </c>
      <c r="H250" s="3">
        <f t="shared" si="48"/>
        <v>10.764430577223088</v>
      </c>
      <c r="P250"/>
      <c r="Q250"/>
      <c r="R250"/>
    </row>
    <row r="251" spans="1:21" x14ac:dyDescent="0.25">
      <c r="A251" s="1">
        <v>44766</v>
      </c>
      <c r="B251" t="s">
        <v>5</v>
      </c>
      <c r="C251">
        <v>22965</v>
      </c>
      <c r="D251">
        <v>1378</v>
      </c>
      <c r="E251">
        <v>84</v>
      </c>
      <c r="F251" s="3">
        <f t="shared" si="46"/>
        <v>6.0004354452427604</v>
      </c>
      <c r="G251" s="3">
        <f t="shared" si="47"/>
        <v>0.36577400391900716</v>
      </c>
      <c r="H251" s="3">
        <f t="shared" si="48"/>
        <v>6.0957910014513788</v>
      </c>
      <c r="P251">
        <f t="shared" ref="P251:R251" si="66">SUM(C251:C254)</f>
        <v>85222</v>
      </c>
      <c r="Q251">
        <f t="shared" si="66"/>
        <v>4948</v>
      </c>
      <c r="R251">
        <f t="shared" si="66"/>
        <v>320</v>
      </c>
      <c r="S251" s="3">
        <f t="shared" si="49"/>
        <v>5.8060125319753118</v>
      </c>
      <c r="T251" s="3">
        <f t="shared" si="50"/>
        <v>0.37548989697495955</v>
      </c>
      <c r="U251" s="3">
        <f t="shared" si="51"/>
        <v>6.4672594987873895</v>
      </c>
    </row>
    <row r="252" spans="1:21" x14ac:dyDescent="0.25">
      <c r="A252" s="1">
        <v>44773</v>
      </c>
      <c r="B252" t="s">
        <v>5</v>
      </c>
      <c r="C252">
        <v>24926</v>
      </c>
      <c r="D252">
        <v>1313</v>
      </c>
      <c r="E252">
        <v>85</v>
      </c>
      <c r="F252" s="3">
        <f t="shared" si="46"/>
        <v>5.2675920725347023</v>
      </c>
      <c r="G252" s="3">
        <f t="shared" si="47"/>
        <v>0.34100938778785206</v>
      </c>
      <c r="H252" s="3">
        <f t="shared" si="48"/>
        <v>6.4737242955064733</v>
      </c>
      <c r="P252"/>
      <c r="Q252"/>
      <c r="R252"/>
    </row>
    <row r="253" spans="1:21" x14ac:dyDescent="0.25">
      <c r="A253" s="1">
        <v>44780</v>
      </c>
      <c r="B253" t="s">
        <v>5</v>
      </c>
      <c r="C253">
        <v>19300</v>
      </c>
      <c r="D253">
        <v>1201</v>
      </c>
      <c r="E253">
        <v>76</v>
      </c>
      <c r="F253" s="3">
        <f t="shared" si="46"/>
        <v>6.2227979274611398</v>
      </c>
      <c r="G253" s="3">
        <f t="shared" si="47"/>
        <v>0.39378238341968913</v>
      </c>
      <c r="H253" s="3">
        <f t="shared" si="48"/>
        <v>6.3280599500416326</v>
      </c>
      <c r="P253"/>
      <c r="Q253"/>
      <c r="R253"/>
    </row>
    <row r="254" spans="1:21" x14ac:dyDescent="0.25">
      <c r="A254" s="1">
        <v>44787</v>
      </c>
      <c r="B254" t="s">
        <v>5</v>
      </c>
      <c r="C254">
        <v>18031</v>
      </c>
      <c r="D254">
        <v>1056</v>
      </c>
      <c r="E254">
        <v>75</v>
      </c>
      <c r="F254" s="3">
        <f t="shared" si="46"/>
        <v>5.8565803338694469</v>
      </c>
      <c r="G254" s="3">
        <f t="shared" si="47"/>
        <v>0.41595030780322778</v>
      </c>
      <c r="H254" s="3">
        <f t="shared" si="48"/>
        <v>7.1022727272727275</v>
      </c>
      <c r="P254"/>
      <c r="Q254"/>
      <c r="R254"/>
    </row>
    <row r="255" spans="1:21" x14ac:dyDescent="0.25">
      <c r="A255" s="1">
        <v>44794</v>
      </c>
      <c r="B255" t="s">
        <v>5</v>
      </c>
      <c r="C255">
        <v>17431</v>
      </c>
      <c r="D255">
        <v>947</v>
      </c>
      <c r="E255">
        <v>73</v>
      </c>
      <c r="F255" s="3">
        <f t="shared" si="46"/>
        <v>5.4328495209683902</v>
      </c>
      <c r="G255" s="3">
        <f t="shared" si="47"/>
        <v>0.41879410246113247</v>
      </c>
      <c r="H255" s="3">
        <f t="shared" si="48"/>
        <v>7.7085533262935586</v>
      </c>
      <c r="P255"/>
      <c r="Q255"/>
      <c r="R255"/>
    </row>
    <row r="256" spans="1:21" x14ac:dyDescent="0.25">
      <c r="A256" s="1">
        <v>44801</v>
      </c>
      <c r="B256" t="s">
        <v>5</v>
      </c>
      <c r="C256">
        <v>24994</v>
      </c>
      <c r="D256">
        <v>1347</v>
      </c>
      <c r="E256">
        <v>76</v>
      </c>
      <c r="F256" s="3">
        <f t="shared" si="46"/>
        <v>5.3892934304233018</v>
      </c>
      <c r="G256" s="3">
        <f t="shared" si="47"/>
        <v>0.30407297751460349</v>
      </c>
      <c r="H256" s="3">
        <f t="shared" si="48"/>
        <v>5.6421677802524126</v>
      </c>
      <c r="P256"/>
      <c r="Q256"/>
      <c r="R256"/>
    </row>
  </sheetData>
  <autoFilter ref="A2:E256" xr:uid="{00000000-0009-0000-0000-000000000000}"/>
  <mergeCells count="4">
    <mergeCell ref="C1:H1"/>
    <mergeCell ref="I1:O1"/>
    <mergeCell ref="P1:U1"/>
    <mergeCell ref="V1:AB1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Funnel_Weekly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Yihao Fang</dc:creator>
  <cp:lastModifiedBy>Yihao Fang</cp:lastModifiedBy>
  <dcterms:created xsi:type="dcterms:W3CDTF">2022-09-20T20:22:31Z</dcterms:created>
  <dcterms:modified xsi:type="dcterms:W3CDTF">2022-09-28T21:37:07Z</dcterms:modified>
</cp:coreProperties>
</file>